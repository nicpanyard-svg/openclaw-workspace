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loext="http://schemas.libreoffice.org/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xmlns:x15="http://schemas.microsoft.com/office/spreadsheetml/2010/11/main" mc:Ignorable="x15 xr xr6 xr10 xr2">
  <fileVersion appName="xl" lastEdited="7" lowestEdited="7" rupBuild="10719"/>
  <workbookPr/>
  <mc:AlternateContent>
    <mc:Choice Requires="x15">
      <x15ac:absPath url="/Users/inet/Library/Mobile Documents/com~apple~CloudDocs/Desktop/Desktop - iNet’s MacBook Pro/Finance/Quote Sheet Master/"/>
    </mc:Choice>
  </mc:AlternateContent>
  <xr:revisionPtr revIDLastSave="0" documentId="8_{8AE490AB-FF8F-564E-83D5-35184E95A204}" xr6:coauthVersionLast="47" xr6:coauthVersionMax="47" xr10:uidLastSave="{00000000-0000-0000-0000-000000000000}"/>
  <bookViews>
    <workbookView xWindow="0" yWindow="0" windowWidth="37360" windowHeight="20440" tabRatio="500" activeTab="3" xr2:uid="{00000000-000D-0000-FFFF-FFFF00000000}"/>
  </bookViews>
  <sheets>
    <sheet name="Instructions, Assumptions" sheetId="1" r:id="rId1"/>
    <sheet name="Rental (BOM)" sheetId="2" r:id="rId2"/>
    <sheet name="Sale (BOM)" sheetId="3" r:id="rId3"/>
    <sheet name="Pricing" sheetId="4" r:id="rId4"/>
    <sheet name="Cashflow &amp; Payback" sheetId="5" state="hidden" r:id="rId5"/>
    <sheet name="Exec Summary" sheetId="6" r:id="rId6"/>
    <sheet name="NPV - IRR" sheetId="7" state="hidden" r:id="rId7"/>
  </sheets>
  <definedNames>
    <definedName name="_xlnm.Print_Area" localSheetId="5">'Exec Summary'!$B$1:$N$59</definedName>
  </definedNames>
  <calcPr calcId="191029" calcMode="auto" fullCalcOnLoad="1" forceFullCalc="1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3" l="1"/>
  <c r="H43" i="3"/>
  <c r="E77" i="7"/>
  <c r="G77" i="7" s="1"/>
  <c r="E76" i="7"/>
  <c r="G76" i="7" s="1"/>
  <c r="E75" i="7"/>
  <c r="G75" i="7" s="1"/>
  <c r="E74" i="7"/>
  <c r="G74" i="7" s="1"/>
  <c r="E73" i="7"/>
  <c r="G73" i="7" s="1"/>
  <c r="E72" i="7"/>
  <c r="G72" i="7" s="1"/>
  <c r="E71" i="7"/>
  <c r="G71" i="7" s="1"/>
  <c r="G70" i="7"/>
  <c r="E70" i="7"/>
  <c r="E69" i="7"/>
  <c r="G69" i="7" s="1"/>
  <c r="E68" i="7"/>
  <c r="G68" i="7" s="1"/>
  <c r="E62" i="7"/>
  <c r="G62" i="7" s="1"/>
  <c r="E61" i="7"/>
  <c r="G61" i="7" s="1"/>
  <c r="G60" i="7"/>
  <c r="E60" i="7"/>
  <c r="E59" i="7"/>
  <c r="G59" i="7" s="1"/>
  <c r="E58" i="7"/>
  <c r="G58" i="7" s="1"/>
  <c r="E57" i="7"/>
  <c r="G57" i="7" s="1"/>
  <c r="G56" i="7"/>
  <c r="E56" i="7"/>
  <c r="E55" i="7"/>
  <c r="G55" i="7" s="1"/>
  <c r="G54" i="7"/>
  <c r="E54" i="7"/>
  <c r="E53" i="7"/>
  <c r="G53" i="7" s="1"/>
  <c r="E47" i="7"/>
  <c r="G47" i="7" s="1"/>
  <c r="E46" i="7"/>
  <c r="G46" i="7" s="1"/>
  <c r="E45" i="7"/>
  <c r="G45" i="7" s="1"/>
  <c r="G44" i="7"/>
  <c r="E44" i="7"/>
  <c r="E43" i="7"/>
  <c r="G43" i="7" s="1"/>
  <c r="E42" i="7"/>
  <c r="G42" i="7" s="1"/>
  <c r="E41" i="7"/>
  <c r="G41" i="7" s="1"/>
  <c r="G40" i="7"/>
  <c r="E40" i="7"/>
  <c r="E39" i="7"/>
  <c r="G39" i="7" s="1"/>
  <c r="G38" i="7"/>
  <c r="E38" i="7"/>
  <c r="E32" i="7"/>
  <c r="G32" i="7" s="1"/>
  <c r="G31" i="7"/>
  <c r="E31" i="7"/>
  <c r="E30" i="7"/>
  <c r="G30" i="7" s="1"/>
  <c r="E29" i="7"/>
  <c r="G29" i="7" s="1"/>
  <c r="E28" i="7"/>
  <c r="G28" i="7" s="1"/>
  <c r="E27" i="7"/>
  <c r="G27" i="7" s="1"/>
  <c r="E26" i="7"/>
  <c r="G26" i="7" s="1"/>
  <c r="E25" i="7"/>
  <c r="G25" i="7" s="1"/>
  <c r="E24" i="7"/>
  <c r="G24" i="7" s="1"/>
  <c r="E23" i="7"/>
  <c r="G23" i="7" s="1"/>
  <c r="E17" i="7"/>
  <c r="G17" i="7" s="1"/>
  <c r="E16" i="7"/>
  <c r="G16" i="7" s="1"/>
  <c r="E15" i="7"/>
  <c r="G15" i="7" s="1"/>
  <c r="E14" i="7"/>
  <c r="G14" i="7" s="1"/>
  <c r="E13" i="7"/>
  <c r="G13" i="7" s="1"/>
  <c r="G12" i="7"/>
  <c r="E12" i="7"/>
  <c r="E11" i="7"/>
  <c r="G11" i="7" s="1"/>
  <c r="E10" i="7"/>
  <c r="G10" i="7" s="1"/>
  <c r="E9" i="7"/>
  <c r="G9" i="7" s="1"/>
  <c r="G8" i="7"/>
  <c r="E8" i="7"/>
  <c r="A1" i="7"/>
  <c r="N40" i="6"/>
  <c r="M40" i="6"/>
  <c r="L40" i="6"/>
  <c r="K40" i="6"/>
  <c r="J40" i="6"/>
  <c r="I40" i="6"/>
  <c r="H40" i="6"/>
  <c r="G40" i="6"/>
  <c r="F40" i="6"/>
  <c r="N39" i="6"/>
  <c r="M39" i="6"/>
  <c r="L39" i="6"/>
  <c r="K39" i="6"/>
  <c r="J39" i="6"/>
  <c r="I39" i="6"/>
  <c r="H39" i="6"/>
  <c r="G39" i="6"/>
  <c r="F39" i="6"/>
  <c r="M34" i="6"/>
  <c r="K34" i="6"/>
  <c r="E34" i="6"/>
  <c r="D34" i="6"/>
  <c r="M33" i="6"/>
  <c r="K33" i="6"/>
  <c r="N29" i="6"/>
  <c r="L29" i="6"/>
  <c r="K29" i="6"/>
  <c r="J29" i="6"/>
  <c r="I29" i="6"/>
  <c r="H29" i="6"/>
  <c r="F29" i="6"/>
  <c r="D29" i="6"/>
  <c r="N22" i="6"/>
  <c r="M22" i="6"/>
  <c r="L22" i="6"/>
  <c r="K22" i="6"/>
  <c r="J22" i="6"/>
  <c r="I22" i="6"/>
  <c r="H22" i="6"/>
  <c r="G22" i="6"/>
  <c r="F22" i="6"/>
  <c r="N21" i="6"/>
  <c r="M21" i="6"/>
  <c r="L21" i="6"/>
  <c r="K21" i="6"/>
  <c r="J21" i="6"/>
  <c r="I21" i="6"/>
  <c r="H21" i="6"/>
  <c r="G21" i="6"/>
  <c r="F21" i="6"/>
  <c r="F20" i="6" a="1"/>
  <c r="B1" i="6"/>
  <c r="I131" i="5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E131" i="5"/>
  <c r="F131" i="5" s="1"/>
  <c r="G131" i="5" s="1"/>
  <c r="H131" i="5" s="1"/>
  <c r="D131" i="5"/>
  <c r="I105" i="5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AG105" i="5" s="1"/>
  <c r="AH105" i="5" s="1"/>
  <c r="AI105" i="5" s="1"/>
  <c r="AJ105" i="5" s="1"/>
  <c r="AK105" i="5" s="1"/>
  <c r="AL105" i="5" s="1"/>
  <c r="AM105" i="5" s="1"/>
  <c r="AN105" i="5" s="1"/>
  <c r="AO105" i="5" s="1"/>
  <c r="AP105" i="5" s="1"/>
  <c r="AQ105" i="5" s="1"/>
  <c r="AR105" i="5" s="1"/>
  <c r="AS105" i="5" s="1"/>
  <c r="AT105" i="5" s="1"/>
  <c r="AU105" i="5" s="1"/>
  <c r="AV105" i="5" s="1"/>
  <c r="AW105" i="5" s="1"/>
  <c r="AX105" i="5" s="1"/>
  <c r="AY105" i="5" s="1"/>
  <c r="AZ105" i="5" s="1"/>
  <c r="BA105" i="5" s="1"/>
  <c r="BB105" i="5" s="1"/>
  <c r="BC105" i="5" s="1"/>
  <c r="BD105" i="5" s="1"/>
  <c r="BE105" i="5" s="1"/>
  <c r="BF105" i="5" s="1"/>
  <c r="BG105" i="5" s="1"/>
  <c r="BH105" i="5" s="1"/>
  <c r="BI105" i="5" s="1"/>
  <c r="BJ105" i="5" s="1"/>
  <c r="H105" i="5"/>
  <c r="F105" i="5"/>
  <c r="G105" i="5" s="1"/>
  <c r="E105" i="5"/>
  <c r="D105" i="5"/>
  <c r="M79" i="5"/>
  <c r="N79" i="5" s="1"/>
  <c r="O79" i="5" s="1"/>
  <c r="P79" i="5" s="1"/>
  <c r="Q79" i="5" s="1"/>
  <c r="R79" i="5" s="1"/>
  <c r="S79" i="5" s="1"/>
  <c r="T79" i="5" s="1"/>
  <c r="U79" i="5" s="1"/>
  <c r="V79" i="5" s="1"/>
  <c r="W79" i="5" s="1"/>
  <c r="X79" i="5" s="1"/>
  <c r="Y79" i="5" s="1"/>
  <c r="Z79" i="5" s="1"/>
  <c r="AA79" i="5" s="1"/>
  <c r="AB79" i="5" s="1"/>
  <c r="AC79" i="5" s="1"/>
  <c r="AD79" i="5" s="1"/>
  <c r="AE79" i="5" s="1"/>
  <c r="AF79" i="5" s="1"/>
  <c r="AG79" i="5" s="1"/>
  <c r="AH79" i="5" s="1"/>
  <c r="AI79" i="5" s="1"/>
  <c r="AJ79" i="5" s="1"/>
  <c r="AK79" i="5" s="1"/>
  <c r="AL79" i="5" s="1"/>
  <c r="AM79" i="5" s="1"/>
  <c r="AN79" i="5" s="1"/>
  <c r="AO79" i="5" s="1"/>
  <c r="AP79" i="5" s="1"/>
  <c r="AQ79" i="5" s="1"/>
  <c r="AR79" i="5" s="1"/>
  <c r="AS79" i="5" s="1"/>
  <c r="AT79" i="5" s="1"/>
  <c r="AU79" i="5" s="1"/>
  <c r="AV79" i="5" s="1"/>
  <c r="AW79" i="5" s="1"/>
  <c r="AX79" i="5" s="1"/>
  <c r="AY79" i="5" s="1"/>
  <c r="AZ79" i="5" s="1"/>
  <c r="BA79" i="5" s="1"/>
  <c r="BB79" i="5" s="1"/>
  <c r="BC79" i="5" s="1"/>
  <c r="BD79" i="5" s="1"/>
  <c r="BE79" i="5" s="1"/>
  <c r="BF79" i="5" s="1"/>
  <c r="BG79" i="5" s="1"/>
  <c r="BH79" i="5" s="1"/>
  <c r="BI79" i="5" s="1"/>
  <c r="BJ79" i="5" s="1"/>
  <c r="E79" i="5"/>
  <c r="F79" i="5" s="1"/>
  <c r="G79" i="5" s="1"/>
  <c r="H79" i="5" s="1"/>
  <c r="I79" i="5" s="1"/>
  <c r="J79" i="5" s="1"/>
  <c r="K79" i="5" s="1"/>
  <c r="L79" i="5" s="1"/>
  <c r="D79" i="5"/>
  <c r="E53" i="5"/>
  <c r="F53" i="5" s="1"/>
  <c r="G53" i="5" s="1"/>
  <c r="H53" i="5" s="1"/>
  <c r="I53" i="5" s="1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AG53" i="5" s="1"/>
  <c r="AH53" i="5" s="1"/>
  <c r="AI53" i="5" s="1"/>
  <c r="AJ53" i="5" s="1"/>
  <c r="AK53" i="5" s="1"/>
  <c r="AL53" i="5" s="1"/>
  <c r="AM53" i="5" s="1"/>
  <c r="AN53" i="5" s="1"/>
  <c r="AO53" i="5" s="1"/>
  <c r="AP53" i="5" s="1"/>
  <c r="AQ53" i="5" s="1"/>
  <c r="AR53" i="5" s="1"/>
  <c r="AS53" i="5" s="1"/>
  <c r="AT53" i="5" s="1"/>
  <c r="AU53" i="5" s="1"/>
  <c r="AV53" i="5" s="1"/>
  <c r="AW53" i="5" s="1"/>
  <c r="AX53" i="5" s="1"/>
  <c r="AY53" i="5" s="1"/>
  <c r="AZ53" i="5" s="1"/>
  <c r="BA53" i="5" s="1"/>
  <c r="BB53" i="5" s="1"/>
  <c r="BC53" i="5" s="1"/>
  <c r="BD53" i="5" s="1"/>
  <c r="BE53" i="5" s="1"/>
  <c r="BF53" i="5" s="1"/>
  <c r="BG53" i="5" s="1"/>
  <c r="BH53" i="5" s="1"/>
  <c r="BI53" i="5" s="1"/>
  <c r="BJ53" i="5" s="1"/>
  <c r="D53" i="5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AG27" i="5" s="1"/>
  <c r="AH27" i="5" s="1"/>
  <c r="AI27" i="5" s="1"/>
  <c r="AJ27" i="5" s="1"/>
  <c r="AK27" i="5" s="1"/>
  <c r="AL27" i="5" s="1"/>
  <c r="AM27" i="5" s="1"/>
  <c r="AN27" i="5" s="1"/>
  <c r="AO27" i="5" s="1"/>
  <c r="AP27" i="5" s="1"/>
  <c r="AQ27" i="5" s="1"/>
  <c r="AR27" i="5" s="1"/>
  <c r="AS27" i="5" s="1"/>
  <c r="AT27" i="5" s="1"/>
  <c r="AU27" i="5" s="1"/>
  <c r="AV27" i="5" s="1"/>
  <c r="AW27" i="5" s="1"/>
  <c r="AX27" i="5" s="1"/>
  <c r="AY27" i="5" s="1"/>
  <c r="AZ27" i="5" s="1"/>
  <c r="BA27" i="5" s="1"/>
  <c r="BB27" i="5" s="1"/>
  <c r="BC27" i="5" s="1"/>
  <c r="BD27" i="5" s="1"/>
  <c r="BE27" i="5" s="1"/>
  <c r="BF27" i="5" s="1"/>
  <c r="BG27" i="5" s="1"/>
  <c r="BH27" i="5" s="1"/>
  <c r="BI27" i="5" s="1"/>
  <c r="BJ27" i="5" s="1"/>
  <c r="C6" i="5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BE2" i="5" s="1"/>
  <c r="BF2" i="5" s="1"/>
  <c r="BG2" i="5" s="1"/>
  <c r="BH2" i="5" s="1"/>
  <c r="BI2" i="5" s="1"/>
  <c r="BJ2" i="5" s="1"/>
  <c r="C1" i="5"/>
  <c r="S52" i="3"/>
  <c r="P52" i="3"/>
  <c r="M52" i="3"/>
  <c r="J52" i="3"/>
  <c r="G52" i="3"/>
  <c r="E52" i="3"/>
  <c r="N52" i="3" s="1"/>
  <c r="S51" i="3"/>
  <c r="P51" i="3"/>
  <c r="N51" i="3"/>
  <c r="M51" i="3"/>
  <c r="K51" i="3"/>
  <c r="J51" i="3"/>
  <c r="G51" i="3"/>
  <c r="E51" i="3"/>
  <c r="T51" i="3" s="1"/>
  <c r="S50" i="3"/>
  <c r="P50" i="3"/>
  <c r="N50" i="3"/>
  <c r="M50" i="3"/>
  <c r="J50" i="3"/>
  <c r="G50" i="3"/>
  <c r="E50" i="3"/>
  <c r="K50" i="3" s="1"/>
  <c r="T49" i="3"/>
  <c r="S49" i="3"/>
  <c r="P49" i="3"/>
  <c r="N49" i="3"/>
  <c r="M49" i="3"/>
  <c r="K49" i="3"/>
  <c r="J49" i="3"/>
  <c r="H49" i="3"/>
  <c r="G49" i="3"/>
  <c r="E49" i="3"/>
  <c r="Q49" i="3" s="1"/>
  <c r="S48" i="3"/>
  <c r="P48" i="3"/>
  <c r="N48" i="3"/>
  <c r="M48" i="3"/>
  <c r="K48" i="3"/>
  <c r="J48" i="3"/>
  <c r="G48" i="3"/>
  <c r="E48" i="3"/>
  <c r="T48" i="3" s="1"/>
  <c r="S47" i="3"/>
  <c r="P47" i="3"/>
  <c r="M47" i="3"/>
  <c r="J47" i="3"/>
  <c r="G47" i="3"/>
  <c r="E47" i="3"/>
  <c r="N47" i="3" s="1"/>
  <c r="T46" i="3"/>
  <c r="S46" i="3"/>
  <c r="P46" i="3"/>
  <c r="N46" i="3"/>
  <c r="M46" i="3"/>
  <c r="K46" i="3"/>
  <c r="J46" i="3"/>
  <c r="H46" i="3"/>
  <c r="G46" i="3"/>
  <c r="E46" i="3"/>
  <c r="Q46" i="3" s="1"/>
  <c r="S45" i="3"/>
  <c r="P45" i="3"/>
  <c r="M45" i="3"/>
  <c r="J45" i="3"/>
  <c r="G45" i="3"/>
  <c r="E45" i="3"/>
  <c r="K45" i="3" s="1"/>
  <c r="S44" i="3"/>
  <c r="P44" i="3"/>
  <c r="M44" i="3"/>
  <c r="J44" i="3"/>
  <c r="G44" i="3"/>
  <c r="E44" i="3"/>
  <c r="N44" i="3" s="1"/>
  <c r="S43" i="3"/>
  <c r="P43" i="3"/>
  <c r="N43" i="3"/>
  <c r="M43" i="3"/>
  <c r="J43" i="3"/>
  <c r="E43" i="3"/>
  <c r="T43" i="3" s="1"/>
  <c r="S41" i="3"/>
  <c r="P41" i="3"/>
  <c r="N41" i="3"/>
  <c r="M41" i="3"/>
  <c r="J41" i="3"/>
  <c r="G41" i="3"/>
  <c r="E41" i="3"/>
  <c r="K41" i="3" s="1"/>
  <c r="T40" i="3"/>
  <c r="S40" i="3"/>
  <c r="P40" i="3"/>
  <c r="N40" i="3"/>
  <c r="M40" i="3"/>
  <c r="K40" i="3"/>
  <c r="J40" i="3"/>
  <c r="H40" i="3"/>
  <c r="G40" i="3"/>
  <c r="E40" i="3"/>
  <c r="Q40" i="3" s="1"/>
  <c r="S39" i="3"/>
  <c r="P39" i="3"/>
  <c r="N39" i="3"/>
  <c r="M39" i="3"/>
  <c r="K39" i="3"/>
  <c r="J39" i="3"/>
  <c r="G39" i="3"/>
  <c r="E39" i="3"/>
  <c r="T39" i="3" s="1"/>
  <c r="S38" i="3"/>
  <c r="P38" i="3"/>
  <c r="M38" i="3"/>
  <c r="J38" i="3"/>
  <c r="G38" i="3"/>
  <c r="E38" i="3"/>
  <c r="N38" i="3" s="1"/>
  <c r="T37" i="3"/>
  <c r="S37" i="3"/>
  <c r="P37" i="3"/>
  <c r="N37" i="3"/>
  <c r="M37" i="3"/>
  <c r="K37" i="3"/>
  <c r="J37" i="3"/>
  <c r="H37" i="3"/>
  <c r="G37" i="3"/>
  <c r="E37" i="3"/>
  <c r="Q37" i="3" s="1"/>
  <c r="S36" i="3"/>
  <c r="P36" i="3"/>
  <c r="M36" i="3"/>
  <c r="J36" i="3"/>
  <c r="G36" i="3"/>
  <c r="E36" i="3"/>
  <c r="K36" i="3" s="1"/>
  <c r="S35" i="3"/>
  <c r="P35" i="3"/>
  <c r="M35" i="3"/>
  <c r="J35" i="3"/>
  <c r="G35" i="3"/>
  <c r="E35" i="3"/>
  <c r="N35" i="3" s="1"/>
  <c r="S34" i="3"/>
  <c r="P34" i="3"/>
  <c r="N34" i="3"/>
  <c r="M34" i="3"/>
  <c r="K34" i="3"/>
  <c r="J34" i="3"/>
  <c r="G34" i="3"/>
  <c r="E34" i="3"/>
  <c r="T34" i="3" s="1"/>
  <c r="S33" i="3"/>
  <c r="P33" i="3"/>
  <c r="N33" i="3"/>
  <c r="M33" i="3"/>
  <c r="J33" i="3"/>
  <c r="G33" i="3"/>
  <c r="E33" i="3"/>
  <c r="K33" i="3" s="1"/>
  <c r="T32" i="3"/>
  <c r="S32" i="3"/>
  <c r="P32" i="3"/>
  <c r="N32" i="3"/>
  <c r="M32" i="3"/>
  <c r="K32" i="3"/>
  <c r="J32" i="3"/>
  <c r="H32" i="3"/>
  <c r="G32" i="3"/>
  <c r="E32" i="3"/>
  <c r="Q32" i="3" s="1"/>
  <c r="S31" i="3"/>
  <c r="P31" i="3"/>
  <c r="N31" i="3"/>
  <c r="M31" i="3"/>
  <c r="K31" i="3"/>
  <c r="J31" i="3"/>
  <c r="G31" i="3"/>
  <c r="E31" i="3"/>
  <c r="T31" i="3" s="1"/>
  <c r="S30" i="3"/>
  <c r="P30" i="3"/>
  <c r="M30" i="3"/>
  <c r="J30" i="3"/>
  <c r="G30" i="3"/>
  <c r="E30" i="3"/>
  <c r="N30" i="3" s="1"/>
  <c r="T28" i="3"/>
  <c r="S28" i="3"/>
  <c r="P28" i="3"/>
  <c r="N28" i="3"/>
  <c r="M28" i="3"/>
  <c r="K28" i="3"/>
  <c r="J28" i="3"/>
  <c r="H28" i="3"/>
  <c r="G28" i="3"/>
  <c r="E28" i="3"/>
  <c r="Q28" i="3" s="1"/>
  <c r="S27" i="3"/>
  <c r="P27" i="3"/>
  <c r="M27" i="3"/>
  <c r="J27" i="3"/>
  <c r="G27" i="3"/>
  <c r="E27" i="3"/>
  <c r="K27" i="3" s="1"/>
  <c r="S26" i="3"/>
  <c r="P26" i="3"/>
  <c r="M26" i="3"/>
  <c r="J26" i="3"/>
  <c r="G26" i="3"/>
  <c r="E26" i="3"/>
  <c r="N26" i="3" s="1"/>
  <c r="S25" i="3"/>
  <c r="P25" i="3"/>
  <c r="N25" i="3"/>
  <c r="M25" i="3"/>
  <c r="K25" i="3"/>
  <c r="J25" i="3"/>
  <c r="G25" i="3"/>
  <c r="E25" i="3"/>
  <c r="T25" i="3" s="1"/>
  <c r="S24" i="3"/>
  <c r="P24" i="3"/>
  <c r="N24" i="3"/>
  <c r="M24" i="3"/>
  <c r="J24" i="3"/>
  <c r="G24" i="3"/>
  <c r="E24" i="3"/>
  <c r="K24" i="3" s="1"/>
  <c r="T23" i="3"/>
  <c r="S23" i="3"/>
  <c r="P23" i="3"/>
  <c r="N23" i="3"/>
  <c r="M23" i="3"/>
  <c r="K23" i="3"/>
  <c r="J23" i="3"/>
  <c r="H23" i="3"/>
  <c r="G23" i="3"/>
  <c r="E23" i="3"/>
  <c r="Q23" i="3" s="1"/>
  <c r="S22" i="3"/>
  <c r="P22" i="3"/>
  <c r="N22" i="3"/>
  <c r="M22" i="3"/>
  <c r="K22" i="3"/>
  <c r="J22" i="3"/>
  <c r="G22" i="3"/>
  <c r="E22" i="3"/>
  <c r="T22" i="3" s="1"/>
  <c r="T21" i="3"/>
  <c r="S21" i="3"/>
  <c r="P21" i="3"/>
  <c r="M21" i="3"/>
  <c r="J21" i="3"/>
  <c r="H21" i="3"/>
  <c r="G21" i="3"/>
  <c r="E21" i="3"/>
  <c r="N21" i="3" s="1"/>
  <c r="T20" i="3"/>
  <c r="S20" i="3"/>
  <c r="P20" i="3"/>
  <c r="N20" i="3"/>
  <c r="M20" i="3"/>
  <c r="K20" i="3"/>
  <c r="J20" i="3"/>
  <c r="H20" i="3"/>
  <c r="G20" i="3"/>
  <c r="E20" i="3"/>
  <c r="Q20" i="3" s="1"/>
  <c r="S19" i="3"/>
  <c r="P19" i="3"/>
  <c r="M19" i="3"/>
  <c r="J19" i="3"/>
  <c r="G19" i="3"/>
  <c r="E19" i="3"/>
  <c r="K19" i="3" s="1"/>
  <c r="S18" i="3"/>
  <c r="P18" i="3"/>
  <c r="M18" i="3"/>
  <c r="J18" i="3"/>
  <c r="G18" i="3"/>
  <c r="E18" i="3"/>
  <c r="N18" i="3" s="1"/>
  <c r="S17" i="3"/>
  <c r="P17" i="3"/>
  <c r="N17" i="3"/>
  <c r="M17" i="3"/>
  <c r="K17" i="3"/>
  <c r="J17" i="3"/>
  <c r="G17" i="3"/>
  <c r="E17" i="3"/>
  <c r="T17" i="3" s="1"/>
  <c r="S16" i="3"/>
  <c r="P16" i="3"/>
  <c r="N16" i="3"/>
  <c r="M16" i="3"/>
  <c r="J16" i="3"/>
  <c r="G16" i="3"/>
  <c r="E16" i="3"/>
  <c r="K16" i="3" s="1"/>
  <c r="T15" i="3"/>
  <c r="S15" i="3"/>
  <c r="P15" i="3"/>
  <c r="N15" i="3"/>
  <c r="M15" i="3"/>
  <c r="K15" i="3"/>
  <c r="J15" i="3"/>
  <c r="H15" i="3"/>
  <c r="G15" i="3"/>
  <c r="E15" i="3"/>
  <c r="Q15" i="3" s="1"/>
  <c r="S14" i="3"/>
  <c r="P14" i="3"/>
  <c r="N14" i="3"/>
  <c r="M14" i="3"/>
  <c r="K14" i="3"/>
  <c r="J14" i="3"/>
  <c r="G14" i="3"/>
  <c r="E14" i="3"/>
  <c r="T14" i="3" s="1"/>
  <c r="T13" i="3"/>
  <c r="S13" i="3"/>
  <c r="P13" i="3"/>
  <c r="M13" i="3"/>
  <c r="J13" i="3"/>
  <c r="H13" i="3"/>
  <c r="G13" i="3"/>
  <c r="E13" i="3"/>
  <c r="N13" i="3" s="1"/>
  <c r="T12" i="3"/>
  <c r="S12" i="3"/>
  <c r="P12" i="3"/>
  <c r="N12" i="3"/>
  <c r="M12" i="3"/>
  <c r="K12" i="3"/>
  <c r="J12" i="3"/>
  <c r="H12" i="3"/>
  <c r="G12" i="3"/>
  <c r="E12" i="3"/>
  <c r="Q12" i="3" s="1"/>
  <c r="S11" i="3"/>
  <c r="P11" i="3"/>
  <c r="M11" i="3"/>
  <c r="J11" i="3"/>
  <c r="G11" i="3"/>
  <c r="E11" i="3"/>
  <c r="K11" i="3" s="1"/>
  <c r="S10" i="3"/>
  <c r="P10" i="3"/>
  <c r="M10" i="3"/>
  <c r="J10" i="3"/>
  <c r="G10" i="3"/>
  <c r="E10" i="3"/>
  <c r="N10" i="3" s="1"/>
  <c r="B3" i="3"/>
  <c r="A1" i="3"/>
  <c r="M150" i="2"/>
  <c r="K150" i="2"/>
  <c r="I150" i="2"/>
  <c r="G150" i="2"/>
  <c r="E150" i="2"/>
  <c r="M149" i="2"/>
  <c r="K149" i="2"/>
  <c r="I149" i="2"/>
  <c r="G149" i="2"/>
  <c r="E149" i="2"/>
  <c r="M148" i="2"/>
  <c r="K148" i="2"/>
  <c r="I148" i="2"/>
  <c r="G148" i="2"/>
  <c r="E148" i="2"/>
  <c r="M147" i="2"/>
  <c r="K147" i="2"/>
  <c r="I147" i="2"/>
  <c r="G147" i="2"/>
  <c r="E147" i="2"/>
  <c r="M146" i="2"/>
  <c r="K146" i="2"/>
  <c r="I146" i="2"/>
  <c r="G146" i="2"/>
  <c r="E146" i="2"/>
  <c r="M145" i="2"/>
  <c r="K145" i="2"/>
  <c r="I145" i="2"/>
  <c r="G145" i="2"/>
  <c r="E145" i="2"/>
  <c r="M144" i="2"/>
  <c r="K144" i="2"/>
  <c r="I144" i="2"/>
  <c r="G144" i="2"/>
  <c r="E144" i="2"/>
  <c r="M143" i="2"/>
  <c r="K143" i="2"/>
  <c r="I143" i="2"/>
  <c r="G143" i="2"/>
  <c r="E143" i="2"/>
  <c r="M142" i="2"/>
  <c r="K142" i="2"/>
  <c r="I142" i="2"/>
  <c r="G142" i="2"/>
  <c r="E142" i="2"/>
  <c r="M141" i="2"/>
  <c r="K141" i="2"/>
  <c r="I141" i="2"/>
  <c r="G141" i="2"/>
  <c r="E141" i="2"/>
  <c r="M140" i="2"/>
  <c r="K140" i="2"/>
  <c r="I140" i="2"/>
  <c r="G140" i="2"/>
  <c r="E140" i="2"/>
  <c r="M139" i="2"/>
  <c r="K139" i="2"/>
  <c r="I139" i="2"/>
  <c r="G139" i="2"/>
  <c r="E139" i="2"/>
  <c r="M138" i="2"/>
  <c r="K138" i="2"/>
  <c r="I138" i="2"/>
  <c r="G138" i="2"/>
  <c r="E138" i="2"/>
  <c r="M137" i="2"/>
  <c r="K137" i="2"/>
  <c r="I137" i="2"/>
  <c r="G137" i="2"/>
  <c r="E137" i="2"/>
  <c r="M136" i="2"/>
  <c r="K136" i="2"/>
  <c r="I136" i="2"/>
  <c r="G136" i="2"/>
  <c r="E136" i="2"/>
  <c r="M135" i="2"/>
  <c r="K135" i="2"/>
  <c r="I135" i="2"/>
  <c r="G135" i="2"/>
  <c r="E135" i="2"/>
  <c r="M134" i="2"/>
  <c r="K134" i="2"/>
  <c r="I134" i="2"/>
  <c r="G134" i="2"/>
  <c r="E134" i="2"/>
  <c r="M133" i="2"/>
  <c r="K133" i="2"/>
  <c r="I133" i="2"/>
  <c r="G133" i="2"/>
  <c r="E133" i="2"/>
  <c r="M132" i="2"/>
  <c r="K132" i="2"/>
  <c r="I132" i="2"/>
  <c r="G132" i="2"/>
  <c r="E132" i="2"/>
  <c r="M131" i="2"/>
  <c r="K131" i="2"/>
  <c r="I131" i="2"/>
  <c r="G131" i="2"/>
  <c r="E131" i="2"/>
  <c r="M130" i="2"/>
  <c r="K130" i="2"/>
  <c r="I130" i="2"/>
  <c r="G130" i="2"/>
  <c r="E130" i="2"/>
  <c r="M129" i="2"/>
  <c r="K129" i="2"/>
  <c r="I129" i="2"/>
  <c r="G129" i="2"/>
  <c r="E129" i="2"/>
  <c r="M128" i="2"/>
  <c r="K128" i="2"/>
  <c r="I128" i="2"/>
  <c r="G128" i="2"/>
  <c r="E128" i="2"/>
  <c r="M126" i="2"/>
  <c r="K126" i="2"/>
  <c r="I126" i="2"/>
  <c r="G126" i="2"/>
  <c r="E126" i="2"/>
  <c r="M125" i="2"/>
  <c r="K125" i="2"/>
  <c r="I125" i="2"/>
  <c r="G125" i="2"/>
  <c r="E125" i="2"/>
  <c r="M124" i="2"/>
  <c r="K124" i="2"/>
  <c r="I124" i="2"/>
  <c r="G124" i="2"/>
  <c r="E124" i="2"/>
  <c r="M123" i="2"/>
  <c r="K123" i="2"/>
  <c r="I123" i="2"/>
  <c r="G123" i="2"/>
  <c r="E123" i="2"/>
  <c r="M122" i="2"/>
  <c r="K122" i="2"/>
  <c r="I122" i="2"/>
  <c r="G122" i="2"/>
  <c r="E122" i="2"/>
  <c r="M121" i="2"/>
  <c r="K121" i="2"/>
  <c r="I121" i="2"/>
  <c r="G121" i="2"/>
  <c r="E121" i="2"/>
  <c r="M120" i="2"/>
  <c r="K120" i="2"/>
  <c r="I120" i="2"/>
  <c r="G120" i="2"/>
  <c r="E120" i="2"/>
  <c r="M119" i="2"/>
  <c r="K119" i="2"/>
  <c r="I119" i="2"/>
  <c r="G119" i="2"/>
  <c r="E119" i="2"/>
  <c r="M118" i="2"/>
  <c r="K118" i="2"/>
  <c r="I118" i="2"/>
  <c r="G118" i="2"/>
  <c r="E118" i="2"/>
  <c r="M117" i="2"/>
  <c r="K117" i="2"/>
  <c r="I117" i="2"/>
  <c r="G117" i="2"/>
  <c r="E117" i="2"/>
  <c r="M116" i="2"/>
  <c r="K116" i="2"/>
  <c r="I116" i="2"/>
  <c r="G116" i="2"/>
  <c r="E116" i="2"/>
  <c r="M115" i="2"/>
  <c r="K115" i="2"/>
  <c r="I115" i="2"/>
  <c r="G115" i="2"/>
  <c r="E115" i="2"/>
  <c r="M114" i="2"/>
  <c r="K114" i="2"/>
  <c r="I114" i="2"/>
  <c r="G114" i="2"/>
  <c r="E114" i="2"/>
  <c r="M113" i="2"/>
  <c r="K113" i="2"/>
  <c r="I113" i="2"/>
  <c r="G113" i="2"/>
  <c r="E113" i="2"/>
  <c r="M112" i="2"/>
  <c r="K112" i="2"/>
  <c r="I112" i="2"/>
  <c r="G112" i="2"/>
  <c r="E112" i="2"/>
  <c r="M111" i="2"/>
  <c r="K111" i="2"/>
  <c r="I111" i="2"/>
  <c r="G111" i="2"/>
  <c r="E111" i="2"/>
  <c r="M110" i="2"/>
  <c r="K110" i="2"/>
  <c r="I110" i="2"/>
  <c r="G110" i="2"/>
  <c r="E110" i="2"/>
  <c r="M109" i="2"/>
  <c r="K109" i="2"/>
  <c r="I109" i="2"/>
  <c r="G109" i="2"/>
  <c r="E109" i="2"/>
  <c r="M108" i="2"/>
  <c r="K108" i="2"/>
  <c r="I108" i="2"/>
  <c r="G108" i="2"/>
  <c r="E108" i="2"/>
  <c r="M107" i="2"/>
  <c r="K107" i="2"/>
  <c r="I107" i="2"/>
  <c r="G107" i="2"/>
  <c r="E107" i="2"/>
  <c r="M106" i="2"/>
  <c r="K106" i="2"/>
  <c r="I106" i="2"/>
  <c r="G106" i="2"/>
  <c r="E106" i="2"/>
  <c r="M104" i="2"/>
  <c r="K104" i="2"/>
  <c r="I104" i="2"/>
  <c r="G104" i="2"/>
  <c r="E104" i="2"/>
  <c r="M103" i="2"/>
  <c r="K103" i="2"/>
  <c r="I103" i="2"/>
  <c r="G103" i="2"/>
  <c r="E103" i="2"/>
  <c r="M102" i="2"/>
  <c r="K102" i="2"/>
  <c r="I102" i="2"/>
  <c r="G102" i="2"/>
  <c r="E102" i="2"/>
  <c r="M101" i="2"/>
  <c r="K101" i="2"/>
  <c r="I101" i="2"/>
  <c r="G101" i="2"/>
  <c r="E101" i="2"/>
  <c r="M100" i="2"/>
  <c r="K100" i="2"/>
  <c r="I100" i="2"/>
  <c r="G100" i="2"/>
  <c r="E100" i="2"/>
  <c r="M99" i="2"/>
  <c r="K99" i="2"/>
  <c r="I99" i="2"/>
  <c r="G99" i="2"/>
  <c r="E99" i="2"/>
  <c r="M98" i="2"/>
  <c r="K98" i="2"/>
  <c r="I98" i="2"/>
  <c r="G98" i="2"/>
  <c r="E98" i="2"/>
  <c r="M97" i="2"/>
  <c r="K97" i="2"/>
  <c r="I97" i="2"/>
  <c r="G97" i="2"/>
  <c r="E97" i="2"/>
  <c r="M96" i="2"/>
  <c r="K96" i="2"/>
  <c r="I96" i="2"/>
  <c r="G96" i="2"/>
  <c r="E96" i="2"/>
  <c r="M95" i="2"/>
  <c r="K95" i="2"/>
  <c r="I95" i="2"/>
  <c r="G95" i="2"/>
  <c r="E95" i="2"/>
  <c r="M94" i="2"/>
  <c r="K94" i="2"/>
  <c r="I94" i="2"/>
  <c r="G94" i="2"/>
  <c r="E94" i="2"/>
  <c r="M93" i="2"/>
  <c r="K93" i="2"/>
  <c r="I93" i="2"/>
  <c r="G93" i="2"/>
  <c r="E93" i="2"/>
  <c r="M92" i="2"/>
  <c r="K92" i="2"/>
  <c r="I92" i="2"/>
  <c r="G92" i="2"/>
  <c r="E92" i="2"/>
  <c r="M91" i="2"/>
  <c r="K91" i="2"/>
  <c r="I91" i="2"/>
  <c r="G91" i="2"/>
  <c r="E91" i="2"/>
  <c r="M90" i="2"/>
  <c r="K90" i="2"/>
  <c r="I90" i="2"/>
  <c r="G90" i="2"/>
  <c r="E90" i="2"/>
  <c r="M89" i="2"/>
  <c r="K89" i="2"/>
  <c r="I89" i="2"/>
  <c r="G89" i="2"/>
  <c r="E89" i="2"/>
  <c r="M88" i="2"/>
  <c r="K88" i="2"/>
  <c r="I88" i="2"/>
  <c r="G88" i="2"/>
  <c r="E88" i="2"/>
  <c r="M87" i="2"/>
  <c r="K87" i="2"/>
  <c r="I87" i="2"/>
  <c r="G87" i="2"/>
  <c r="E87" i="2"/>
  <c r="M86" i="2"/>
  <c r="K86" i="2"/>
  <c r="I86" i="2"/>
  <c r="G86" i="2"/>
  <c r="E86" i="2"/>
  <c r="M85" i="2"/>
  <c r="K85" i="2"/>
  <c r="I85" i="2"/>
  <c r="G85" i="2"/>
  <c r="E85" i="2"/>
  <c r="M84" i="2"/>
  <c r="K84" i="2"/>
  <c r="I84" i="2"/>
  <c r="G84" i="2"/>
  <c r="E84" i="2"/>
  <c r="M83" i="2"/>
  <c r="K83" i="2"/>
  <c r="I83" i="2"/>
  <c r="G83" i="2"/>
  <c r="E83" i="2"/>
  <c r="M82" i="2"/>
  <c r="K82" i="2"/>
  <c r="I82" i="2"/>
  <c r="G82" i="2"/>
  <c r="E82" i="2"/>
  <c r="M81" i="2"/>
  <c r="K81" i="2"/>
  <c r="I81" i="2"/>
  <c r="G81" i="2"/>
  <c r="E81" i="2"/>
  <c r="M80" i="2"/>
  <c r="K80" i="2"/>
  <c r="I80" i="2"/>
  <c r="G80" i="2"/>
  <c r="E80" i="2"/>
  <c r="M79" i="2"/>
  <c r="K79" i="2"/>
  <c r="I79" i="2"/>
  <c r="G79" i="2"/>
  <c r="E79" i="2"/>
  <c r="M78" i="2"/>
  <c r="K78" i="2"/>
  <c r="I78" i="2"/>
  <c r="G78" i="2"/>
  <c r="E78" i="2"/>
  <c r="M77" i="2"/>
  <c r="K77" i="2"/>
  <c r="I77" i="2"/>
  <c r="G77" i="2"/>
  <c r="E77" i="2"/>
  <c r="M76" i="2"/>
  <c r="K76" i="2"/>
  <c r="I76" i="2"/>
  <c r="G76" i="2"/>
  <c r="E76" i="2"/>
  <c r="M75" i="2"/>
  <c r="K75" i="2"/>
  <c r="I75" i="2"/>
  <c r="G75" i="2"/>
  <c r="E75" i="2"/>
  <c r="M74" i="2"/>
  <c r="K74" i="2"/>
  <c r="I74" i="2"/>
  <c r="G74" i="2"/>
  <c r="E74" i="2"/>
  <c r="M73" i="2"/>
  <c r="K73" i="2"/>
  <c r="I73" i="2"/>
  <c r="G73" i="2"/>
  <c r="E73" i="2"/>
  <c r="M72" i="2"/>
  <c r="K72" i="2"/>
  <c r="I72" i="2"/>
  <c r="G72" i="2"/>
  <c r="E72" i="2"/>
  <c r="M71" i="2"/>
  <c r="K71" i="2"/>
  <c r="I71" i="2"/>
  <c r="G71" i="2"/>
  <c r="E71" i="2"/>
  <c r="M70" i="2"/>
  <c r="K70" i="2"/>
  <c r="I70" i="2"/>
  <c r="G70" i="2"/>
  <c r="E70" i="2"/>
  <c r="M69" i="2"/>
  <c r="K69" i="2"/>
  <c r="I69" i="2"/>
  <c r="G69" i="2"/>
  <c r="E69" i="2"/>
  <c r="M68" i="2"/>
  <c r="K68" i="2"/>
  <c r="I68" i="2"/>
  <c r="G68" i="2"/>
  <c r="E68" i="2"/>
  <c r="M67" i="2"/>
  <c r="K67" i="2"/>
  <c r="I67" i="2"/>
  <c r="G67" i="2"/>
  <c r="E67" i="2"/>
  <c r="M66" i="2"/>
  <c r="K66" i="2"/>
  <c r="I66" i="2"/>
  <c r="G66" i="2"/>
  <c r="E66" i="2"/>
  <c r="M64" i="2"/>
  <c r="K64" i="2"/>
  <c r="I64" i="2"/>
  <c r="G64" i="2"/>
  <c r="E64" i="2"/>
  <c r="M63" i="2"/>
  <c r="K63" i="2"/>
  <c r="I63" i="2"/>
  <c r="G63" i="2"/>
  <c r="E63" i="2"/>
  <c r="M62" i="2"/>
  <c r="K62" i="2"/>
  <c r="I62" i="2"/>
  <c r="G62" i="2"/>
  <c r="E62" i="2"/>
  <c r="M61" i="2"/>
  <c r="K61" i="2"/>
  <c r="I61" i="2"/>
  <c r="G61" i="2"/>
  <c r="E61" i="2"/>
  <c r="M60" i="2"/>
  <c r="K60" i="2"/>
  <c r="I60" i="2"/>
  <c r="G60" i="2"/>
  <c r="E60" i="2"/>
  <c r="M59" i="2"/>
  <c r="K59" i="2"/>
  <c r="I59" i="2"/>
  <c r="G59" i="2"/>
  <c r="E59" i="2"/>
  <c r="M58" i="2"/>
  <c r="K58" i="2"/>
  <c r="I58" i="2"/>
  <c r="G58" i="2"/>
  <c r="E58" i="2"/>
  <c r="M57" i="2"/>
  <c r="K57" i="2"/>
  <c r="I57" i="2"/>
  <c r="G57" i="2"/>
  <c r="E57" i="2"/>
  <c r="M56" i="2"/>
  <c r="K56" i="2"/>
  <c r="I56" i="2"/>
  <c r="G56" i="2"/>
  <c r="E56" i="2"/>
  <c r="M55" i="2"/>
  <c r="K55" i="2"/>
  <c r="I55" i="2"/>
  <c r="G55" i="2"/>
  <c r="E55" i="2"/>
  <c r="M54" i="2"/>
  <c r="K54" i="2"/>
  <c r="I54" i="2"/>
  <c r="G54" i="2"/>
  <c r="E54" i="2"/>
  <c r="M53" i="2"/>
  <c r="K53" i="2"/>
  <c r="I53" i="2"/>
  <c r="G53" i="2"/>
  <c r="E53" i="2"/>
  <c r="M52" i="2"/>
  <c r="K52" i="2"/>
  <c r="I52" i="2"/>
  <c r="G52" i="2"/>
  <c r="E52" i="2"/>
  <c r="M51" i="2"/>
  <c r="K51" i="2"/>
  <c r="I51" i="2"/>
  <c r="G51" i="2"/>
  <c r="E51" i="2"/>
  <c r="M50" i="2"/>
  <c r="K50" i="2"/>
  <c r="I50" i="2"/>
  <c r="G50" i="2"/>
  <c r="E50" i="2"/>
  <c r="M49" i="2"/>
  <c r="K49" i="2"/>
  <c r="I49" i="2"/>
  <c r="G49" i="2"/>
  <c r="E49" i="2"/>
  <c r="M48" i="2"/>
  <c r="K48" i="2"/>
  <c r="I48" i="2"/>
  <c r="G48" i="2"/>
  <c r="E48" i="2"/>
  <c r="M47" i="2"/>
  <c r="K47" i="2"/>
  <c r="I47" i="2"/>
  <c r="G47" i="2"/>
  <c r="E47" i="2"/>
  <c r="M46" i="2"/>
  <c r="K46" i="2"/>
  <c r="I46" i="2"/>
  <c r="G46" i="2"/>
  <c r="E46" i="2"/>
  <c r="M45" i="2"/>
  <c r="K45" i="2"/>
  <c r="I45" i="2"/>
  <c r="G45" i="2"/>
  <c r="E45" i="2"/>
  <c r="M44" i="2"/>
  <c r="K44" i="2"/>
  <c r="I44" i="2"/>
  <c r="G44" i="2"/>
  <c r="E44" i="2"/>
  <c r="M43" i="2"/>
  <c r="K43" i="2"/>
  <c r="I43" i="2"/>
  <c r="G43" i="2"/>
  <c r="E43" i="2"/>
  <c r="M42" i="2"/>
  <c r="K42" i="2"/>
  <c r="I42" i="2"/>
  <c r="G42" i="2"/>
  <c r="E42" i="2"/>
  <c r="M41" i="2"/>
  <c r="K41" i="2"/>
  <c r="I41" i="2"/>
  <c r="G41" i="2"/>
  <c r="E41" i="2"/>
  <c r="M40" i="2"/>
  <c r="K40" i="2"/>
  <c r="I40" i="2"/>
  <c r="G40" i="2"/>
  <c r="E40" i="2"/>
  <c r="M39" i="2"/>
  <c r="K39" i="2"/>
  <c r="I39" i="2"/>
  <c r="G39" i="2"/>
  <c r="E39" i="2"/>
  <c r="M38" i="2"/>
  <c r="K38" i="2"/>
  <c r="I38" i="2"/>
  <c r="G38" i="2"/>
  <c r="E38" i="2"/>
  <c r="M37" i="2"/>
  <c r="K37" i="2"/>
  <c r="I37" i="2"/>
  <c r="G37" i="2"/>
  <c r="E37" i="2"/>
  <c r="M36" i="2"/>
  <c r="K36" i="2"/>
  <c r="I36" i="2"/>
  <c r="G36" i="2"/>
  <c r="E36" i="2"/>
  <c r="M35" i="2"/>
  <c r="K35" i="2"/>
  <c r="I35" i="2"/>
  <c r="G35" i="2"/>
  <c r="E35" i="2"/>
  <c r="M34" i="2"/>
  <c r="K34" i="2"/>
  <c r="I34" i="2"/>
  <c r="G34" i="2"/>
  <c r="E34" i="2"/>
  <c r="M33" i="2"/>
  <c r="K33" i="2"/>
  <c r="I33" i="2"/>
  <c r="G33" i="2"/>
  <c r="E33" i="2"/>
  <c r="M32" i="2"/>
  <c r="K32" i="2"/>
  <c r="I32" i="2"/>
  <c r="G32" i="2"/>
  <c r="E32" i="2"/>
  <c r="M31" i="2"/>
  <c r="K31" i="2"/>
  <c r="I31" i="2"/>
  <c r="G31" i="2"/>
  <c r="E31" i="2"/>
  <c r="M30" i="2"/>
  <c r="K30" i="2"/>
  <c r="I30" i="2"/>
  <c r="G30" i="2"/>
  <c r="E30" i="2"/>
  <c r="M29" i="2"/>
  <c r="K29" i="2"/>
  <c r="I29" i="2"/>
  <c r="G29" i="2"/>
  <c r="E29" i="2"/>
  <c r="M28" i="2"/>
  <c r="K28" i="2"/>
  <c r="I28" i="2"/>
  <c r="G28" i="2"/>
  <c r="E28" i="2"/>
  <c r="M27" i="2"/>
  <c r="K27" i="2"/>
  <c r="I27" i="2"/>
  <c r="G27" i="2"/>
  <c r="E27" i="2"/>
  <c r="M26" i="2"/>
  <c r="K26" i="2"/>
  <c r="I26" i="2"/>
  <c r="G26" i="2"/>
  <c r="E26" i="2"/>
  <c r="M25" i="2"/>
  <c r="K25" i="2"/>
  <c r="I25" i="2"/>
  <c r="G25" i="2"/>
  <c r="E25" i="2"/>
  <c r="M24" i="2"/>
  <c r="K24" i="2"/>
  <c r="I24" i="2"/>
  <c r="G24" i="2"/>
  <c r="E24" i="2"/>
  <c r="M23" i="2"/>
  <c r="K23" i="2"/>
  <c r="I23" i="2"/>
  <c r="G23" i="2"/>
  <c r="E23" i="2"/>
  <c r="M22" i="2"/>
  <c r="K22" i="2"/>
  <c r="I22" i="2"/>
  <c r="G22" i="2"/>
  <c r="E22" i="2"/>
  <c r="M21" i="2"/>
  <c r="K21" i="2"/>
  <c r="I21" i="2"/>
  <c r="G21" i="2"/>
  <c r="E21" i="2"/>
  <c r="M20" i="2"/>
  <c r="K20" i="2"/>
  <c r="I20" i="2"/>
  <c r="G20" i="2"/>
  <c r="E20" i="2"/>
  <c r="M19" i="2"/>
  <c r="K19" i="2"/>
  <c r="I19" i="2"/>
  <c r="G19" i="2"/>
  <c r="E19" i="2"/>
  <c r="M18" i="2"/>
  <c r="K18" i="2"/>
  <c r="I18" i="2"/>
  <c r="G18" i="2"/>
  <c r="E18" i="2"/>
  <c r="M17" i="2"/>
  <c r="K17" i="2"/>
  <c r="I17" i="2"/>
  <c r="G17" i="2"/>
  <c r="E17" i="2"/>
  <c r="M16" i="2"/>
  <c r="K16" i="2"/>
  <c r="I16" i="2"/>
  <c r="G16" i="2"/>
  <c r="E16" i="2"/>
  <c r="M15" i="2"/>
  <c r="K15" i="2"/>
  <c r="I15" i="2"/>
  <c r="G15" i="2"/>
  <c r="E15" i="2"/>
  <c r="M14" i="2"/>
  <c r="K14" i="2"/>
  <c r="I14" i="2"/>
  <c r="G14" i="2"/>
  <c r="E14" i="2"/>
  <c r="M13" i="2"/>
  <c r="K13" i="2"/>
  <c r="I13" i="2"/>
  <c r="G13" i="2"/>
  <c r="E13" i="2"/>
  <c r="M12" i="2"/>
  <c r="K12" i="2"/>
  <c r="I12" i="2"/>
  <c r="G12" i="2"/>
  <c r="E12" i="2"/>
  <c r="M11" i="2"/>
  <c r="K11" i="2"/>
  <c r="I11" i="2"/>
  <c r="G11" i="2"/>
  <c r="E11" i="2"/>
  <c r="M10" i="2"/>
  <c r="K10" i="2"/>
  <c r="I10" i="2"/>
  <c r="G10" i="2"/>
  <c r="E10" i="2"/>
  <c r="B3" i="2"/>
  <c r="A1" i="2"/>
  <c r="D93" i="4"/>
  <c r="I90" i="4"/>
  <c r="H90" i="4"/>
  <c r="G90" i="4"/>
  <c r="F90" i="4"/>
  <c r="E90" i="4"/>
  <c r="I89" i="4"/>
  <c r="H89" i="4"/>
  <c r="G89" i="4"/>
  <c r="F89" i="4"/>
  <c r="E89" i="4"/>
  <c r="I88" i="4"/>
  <c r="H88" i="4"/>
  <c r="G88" i="4"/>
  <c r="F88" i="4"/>
  <c r="E88" i="4"/>
  <c r="I87" i="4"/>
  <c r="H87" i="4"/>
  <c r="G87" i="4"/>
  <c r="F87" i="4"/>
  <c r="E87" i="4"/>
  <c r="I86" i="4"/>
  <c r="H86" i="4"/>
  <c r="G86" i="4"/>
  <c r="F86" i="4"/>
  <c r="E86" i="4"/>
  <c r="I85" i="4"/>
  <c r="H85" i="4"/>
  <c r="G85" i="4"/>
  <c r="F85" i="4"/>
  <c r="E85" i="4"/>
  <c r="I84" i="4"/>
  <c r="H84" i="4"/>
  <c r="G84" i="4"/>
  <c r="F84" i="4"/>
  <c r="E84" i="4"/>
  <c r="D84" i="4" s="1"/>
  <c r="I83" i="4"/>
  <c r="H83" i="4"/>
  <c r="G83" i="4"/>
  <c r="F83" i="4"/>
  <c r="E83" i="4"/>
  <c r="I82" i="4"/>
  <c r="H82" i="4"/>
  <c r="G82" i="4"/>
  <c r="F82" i="4"/>
  <c r="E82" i="4"/>
  <c r="I81" i="4"/>
  <c r="H81" i="4"/>
  <c r="G81" i="4"/>
  <c r="F81" i="4"/>
  <c r="E81" i="4"/>
  <c r="I80" i="4"/>
  <c r="H80" i="4"/>
  <c r="G80" i="4"/>
  <c r="F80" i="4"/>
  <c r="E80" i="4"/>
  <c r="I79" i="4"/>
  <c r="H79" i="4"/>
  <c r="G79" i="4"/>
  <c r="F79" i="4"/>
  <c r="E79" i="4"/>
  <c r="I77" i="4"/>
  <c r="H77" i="4"/>
  <c r="G77" i="4"/>
  <c r="F77" i="4"/>
  <c r="E77" i="4"/>
  <c r="I76" i="4"/>
  <c r="H76" i="4"/>
  <c r="G76" i="4"/>
  <c r="F76" i="4"/>
  <c r="E76" i="4"/>
  <c r="I75" i="4"/>
  <c r="H75" i="4"/>
  <c r="G75" i="4"/>
  <c r="F75" i="4"/>
  <c r="E75" i="4"/>
  <c r="I74" i="4"/>
  <c r="H74" i="4"/>
  <c r="G74" i="4"/>
  <c r="F74" i="4"/>
  <c r="E74" i="4"/>
  <c r="I73" i="4"/>
  <c r="H73" i="4"/>
  <c r="G73" i="4"/>
  <c r="F73" i="4"/>
  <c r="E73" i="4"/>
  <c r="I72" i="4"/>
  <c r="H72" i="4"/>
  <c r="G72" i="4"/>
  <c r="F72" i="4"/>
  <c r="E72" i="4"/>
  <c r="I71" i="4"/>
  <c r="H71" i="4"/>
  <c r="G71" i="4"/>
  <c r="F71" i="4"/>
  <c r="E71" i="4"/>
  <c r="I70" i="4"/>
  <c r="H70" i="4"/>
  <c r="G70" i="4"/>
  <c r="F70" i="4"/>
  <c r="E70" i="4"/>
  <c r="I55" i="4"/>
  <c r="N28" i="6" s="1"/>
  <c r="H55" i="4"/>
  <c r="L28" i="6" s="1"/>
  <c r="G55" i="4"/>
  <c r="J28" i="6" s="1"/>
  <c r="F55" i="4"/>
  <c r="E55" i="4"/>
  <c r="F28" i="6" s="1"/>
  <c r="I54" i="4"/>
  <c r="H54" i="4"/>
  <c r="G54" i="4"/>
  <c r="F54" i="4"/>
  <c r="H30" i="6" s="1"/>
  <c r="E54" i="4"/>
  <c r="F30" i="6" s="1"/>
  <c r="I44" i="4"/>
  <c r="H44" i="4"/>
  <c r="G44" i="4"/>
  <c r="F44" i="4"/>
  <c r="E44" i="4"/>
  <c r="D44" i="4" s="1"/>
  <c r="I43" i="4"/>
  <c r="H43" i="4"/>
  <c r="G43" i="4"/>
  <c r="F43" i="4"/>
  <c r="E43" i="4"/>
  <c r="D43" i="4" s="1"/>
  <c r="I42" i="4"/>
  <c r="H42" i="4"/>
  <c r="D42" i="4" s="1"/>
  <c r="G42" i="4"/>
  <c r="F42" i="4"/>
  <c r="E42" i="4"/>
  <c r="I41" i="4"/>
  <c r="H41" i="4"/>
  <c r="G41" i="4"/>
  <c r="F41" i="4"/>
  <c r="E41" i="4"/>
  <c r="D41" i="4" s="1"/>
  <c r="I40" i="4"/>
  <c r="H40" i="4"/>
  <c r="G40" i="4"/>
  <c r="F40" i="4"/>
  <c r="E40" i="4"/>
  <c r="I39" i="4"/>
  <c r="I38" i="4" s="1"/>
  <c r="I53" i="4" s="1"/>
  <c r="H39" i="4"/>
  <c r="H38" i="4" s="1"/>
  <c r="H53" i="4" s="1"/>
  <c r="L26" i="6" s="1"/>
  <c r="G39" i="4"/>
  <c r="F39" i="4"/>
  <c r="F38" i="4" s="1"/>
  <c r="F53" i="4" s="1"/>
  <c r="H26" i="6" s="1"/>
  <c r="E39" i="4"/>
  <c r="E38" i="4" s="1"/>
  <c r="E53" i="4" s="1"/>
  <c r="I36" i="4"/>
  <c r="H36" i="4"/>
  <c r="G36" i="4"/>
  <c r="F36" i="4"/>
  <c r="E36" i="4"/>
  <c r="I35" i="4"/>
  <c r="H35" i="4"/>
  <c r="G35" i="4"/>
  <c r="F35" i="4"/>
  <c r="E35" i="4"/>
  <c r="I34" i="4"/>
  <c r="H34" i="4"/>
  <c r="G34" i="4"/>
  <c r="F34" i="4"/>
  <c r="E34" i="4"/>
  <c r="D34" i="4" s="1"/>
  <c r="I33" i="4"/>
  <c r="H33" i="4"/>
  <c r="G33" i="4"/>
  <c r="F33" i="4"/>
  <c r="E33" i="4"/>
  <c r="D33" i="4" s="1"/>
  <c r="I32" i="4"/>
  <c r="H32" i="4"/>
  <c r="G32" i="4"/>
  <c r="F32" i="4"/>
  <c r="E32" i="4"/>
  <c r="D32" i="4" s="1"/>
  <c r="I31" i="4"/>
  <c r="H31" i="4"/>
  <c r="G31" i="4"/>
  <c r="F31" i="4"/>
  <c r="E31" i="4"/>
  <c r="I30" i="4"/>
  <c r="H30" i="4"/>
  <c r="G30" i="4"/>
  <c r="F30" i="4"/>
  <c r="E30" i="4"/>
  <c r="D30" i="4" s="1"/>
  <c r="I29" i="4"/>
  <c r="H29" i="4"/>
  <c r="G29" i="4"/>
  <c r="F29" i="4"/>
  <c r="E29" i="4"/>
  <c r="D29" i="4" s="1"/>
  <c r="I28" i="4"/>
  <c r="H28" i="4"/>
  <c r="G28" i="4"/>
  <c r="F28" i="4"/>
  <c r="E28" i="4"/>
  <c r="I27" i="4"/>
  <c r="H27" i="4"/>
  <c r="G27" i="4"/>
  <c r="F27" i="4"/>
  <c r="E27" i="4"/>
  <c r="I26" i="4"/>
  <c r="H26" i="4"/>
  <c r="G26" i="4"/>
  <c r="F26" i="4"/>
  <c r="E26" i="4"/>
  <c r="D26" i="4" s="1"/>
  <c r="I25" i="4"/>
  <c r="I24" i="4" s="1"/>
  <c r="N25" i="6" s="1"/>
  <c r="H25" i="4"/>
  <c r="G25" i="4"/>
  <c r="G24" i="4" s="1"/>
  <c r="J25" i="6" s="1"/>
  <c r="F25" i="4"/>
  <c r="E25" i="4"/>
  <c r="I22" i="4"/>
  <c r="H22" i="4"/>
  <c r="G22" i="4"/>
  <c r="F22" i="4"/>
  <c r="E22" i="4"/>
  <c r="I21" i="4"/>
  <c r="H21" i="4"/>
  <c r="G21" i="4"/>
  <c r="F21" i="4"/>
  <c r="E21" i="4"/>
  <c r="D21" i="4" s="1"/>
  <c r="I20" i="4"/>
  <c r="H20" i="4"/>
  <c r="G20" i="4"/>
  <c r="F20" i="4"/>
  <c r="D20" i="4" s="1"/>
  <c r="E20" i="4"/>
  <c r="I19" i="4"/>
  <c r="H19" i="4"/>
  <c r="G19" i="4"/>
  <c r="F19" i="4"/>
  <c r="E19" i="4"/>
  <c r="I18" i="4"/>
  <c r="H18" i="4"/>
  <c r="G18" i="4"/>
  <c r="F18" i="4"/>
  <c r="E18" i="4"/>
  <c r="I17" i="4"/>
  <c r="H17" i="4"/>
  <c r="G17" i="4"/>
  <c r="F17" i="4"/>
  <c r="E17" i="4"/>
  <c r="D17" i="4" s="1"/>
  <c r="I16" i="4"/>
  <c r="H16" i="4"/>
  <c r="G16" i="4"/>
  <c r="F16" i="4"/>
  <c r="E16" i="4"/>
  <c r="D16" i="4" s="1"/>
  <c r="I15" i="4"/>
  <c r="H15" i="4"/>
  <c r="G15" i="4"/>
  <c r="F15" i="4"/>
  <c r="E15" i="4"/>
  <c r="D15" i="4" s="1"/>
  <c r="I14" i="4"/>
  <c r="H14" i="4"/>
  <c r="G14" i="4"/>
  <c r="F14" i="4"/>
  <c r="E14" i="4"/>
  <c r="I13" i="4"/>
  <c r="H13" i="4"/>
  <c r="G13" i="4"/>
  <c r="F13" i="4"/>
  <c r="E13" i="4"/>
  <c r="D13" i="4" s="1"/>
  <c r="I12" i="4"/>
  <c r="H12" i="4"/>
  <c r="G12" i="4"/>
  <c r="F12" i="4"/>
  <c r="E12" i="4"/>
  <c r="E11" i="4" s="1"/>
  <c r="I3" i="4"/>
  <c r="N20" i="6" s="1"/>
  <c r="H3" i="4"/>
  <c r="L20" i="6" s="1"/>
  <c r="G3" i="4"/>
  <c r="J20" i="6" s="1"/>
  <c r="F3" i="4"/>
  <c r="H20" i="6" s="1"/>
  <c r="E3" i="4"/>
  <c r="D81" i="4" l="1"/>
  <c r="K43" i="3"/>
  <c r="D83" i="4"/>
  <c r="D88" i="4"/>
  <c r="D80" i="4"/>
  <c r="H78" i="4"/>
  <c r="H98" i="4" s="1"/>
  <c r="L43" i="6" s="1"/>
  <c r="D85" i="4"/>
  <c r="I78" i="4"/>
  <c r="I98" i="4" s="1"/>
  <c r="N43" i="6" s="1"/>
  <c r="D90" i="4"/>
  <c r="H69" i="4"/>
  <c r="D76" i="4"/>
  <c r="D70" i="4"/>
  <c r="D75" i="4"/>
  <c r="G69" i="4"/>
  <c r="I69" i="4"/>
  <c r="D71" i="4"/>
  <c r="D74" i="4"/>
  <c r="F69" i="4"/>
  <c r="D22" i="4"/>
  <c r="D27" i="4"/>
  <c r="H24" i="4"/>
  <c r="L25" i="6" s="1"/>
  <c r="D12" i="4"/>
  <c r="D18" i="4"/>
  <c r="D36" i="4"/>
  <c r="F11" i="4"/>
  <c r="F49" i="4" s="1"/>
  <c r="D14" i="4"/>
  <c r="D11" i="4" s="1"/>
  <c r="D24" i="6" s="1"/>
  <c r="H11" i="4"/>
  <c r="E24" i="4"/>
  <c r="F25" i="6" s="1"/>
  <c r="I11" i="4"/>
  <c r="D35" i="4"/>
  <c r="D40" i="4"/>
  <c r="E49" i="4"/>
  <c r="G11" i="4"/>
  <c r="D25" i="4"/>
  <c r="D24" i="4" s="1"/>
  <c r="D25" i="6" s="1"/>
  <c r="D28" i="4"/>
  <c r="F56" i="4"/>
  <c r="H31" i="6" s="1"/>
  <c r="D19" i="4"/>
  <c r="F24" i="4"/>
  <c r="H25" i="6" s="1"/>
  <c r="D31" i="4"/>
  <c r="D39" i="4"/>
  <c r="D38" i="4" s="1"/>
  <c r="G38" i="4"/>
  <c r="G53" i="4" s="1"/>
  <c r="G57" i="4" s="1"/>
  <c r="J32" i="6" s="1"/>
  <c r="D79" i="4"/>
  <c r="D82" i="4"/>
  <c r="D72" i="4"/>
  <c r="E69" i="4"/>
  <c r="N26" i="6"/>
  <c r="L24" i="6"/>
  <c r="H49" i="4"/>
  <c r="N24" i="6"/>
  <c r="I49" i="4"/>
  <c r="J26" i="6"/>
  <c r="F26" i="6"/>
  <c r="D53" i="4"/>
  <c r="D26" i="6" s="1"/>
  <c r="E57" i="4"/>
  <c r="F32" i="6" s="1"/>
  <c r="E56" i="4"/>
  <c r="J24" i="6"/>
  <c r="G49" i="4"/>
  <c r="H24" i="6"/>
  <c r="I30" i="6"/>
  <c r="J31" i="6"/>
  <c r="J30" i="6"/>
  <c r="E78" i="4"/>
  <c r="E98" i="4" s="1"/>
  <c r="L31" i="6"/>
  <c r="L30" i="6"/>
  <c r="H57" i="4"/>
  <c r="L32" i="6" s="1"/>
  <c r="G78" i="4"/>
  <c r="G98" i="4" s="1"/>
  <c r="J43" i="6" s="1"/>
  <c r="D87" i="4"/>
  <c r="H94" i="4"/>
  <c r="H97" i="4" s="1"/>
  <c r="L42" i="6" s="1"/>
  <c r="N30" i="6"/>
  <c r="N31" i="6"/>
  <c r="I57" i="4"/>
  <c r="N32" i="6" s="1"/>
  <c r="D77" i="4"/>
  <c r="D55" i="4"/>
  <c r="G56" i="4"/>
  <c r="D80" i="5" s="1"/>
  <c r="D73" i="4"/>
  <c r="H56" i="4"/>
  <c r="D106" i="5" s="1"/>
  <c r="D86" i="4"/>
  <c r="D89" i="4"/>
  <c r="D54" i="4"/>
  <c r="D30" i="6" s="1"/>
  <c r="H28" i="6"/>
  <c r="F57" i="4"/>
  <c r="H32" i="6" s="1"/>
  <c r="I56" i="4"/>
  <c r="D132" i="5" s="1"/>
  <c r="F78" i="4"/>
  <c r="F98" i="4" s="1"/>
  <c r="H43" i="6" s="1"/>
  <c r="Q10" i="3"/>
  <c r="Q18" i="3"/>
  <c r="Q26" i="3"/>
  <c r="Q35" i="3"/>
  <c r="Q44" i="3"/>
  <c r="Q52" i="3"/>
  <c r="N11" i="3"/>
  <c r="Q13" i="3"/>
  <c r="N19" i="3"/>
  <c r="Q21" i="3"/>
  <c r="N27" i="3"/>
  <c r="Q30" i="3"/>
  <c r="N36" i="3"/>
  <c r="Q38" i="3"/>
  <c r="N45" i="3"/>
  <c r="Q47" i="3"/>
  <c r="H10" i="3"/>
  <c r="T10" i="3"/>
  <c r="Q16" i="3"/>
  <c r="H18" i="3"/>
  <c r="T18" i="3"/>
  <c r="Q24" i="3"/>
  <c r="H26" i="3"/>
  <c r="T26" i="3"/>
  <c r="Q33" i="3"/>
  <c r="H35" i="3"/>
  <c r="T35" i="3"/>
  <c r="Q41" i="3"/>
  <c r="H44" i="3"/>
  <c r="T44" i="3"/>
  <c r="Q50" i="3"/>
  <c r="H52" i="3"/>
  <c r="T52" i="3"/>
  <c r="Q11" i="3"/>
  <c r="Q19" i="3"/>
  <c r="Q27" i="3"/>
  <c r="H30" i="3"/>
  <c r="T30" i="3"/>
  <c r="Q36" i="3"/>
  <c r="H38" i="3"/>
  <c r="T38" i="3"/>
  <c r="Q45" i="3"/>
  <c r="H47" i="3"/>
  <c r="T47" i="3"/>
  <c r="K10" i="3"/>
  <c r="Q14" i="3"/>
  <c r="H16" i="3"/>
  <c r="T16" i="3"/>
  <c r="K18" i="3"/>
  <c r="Q22" i="3"/>
  <c r="H24" i="3"/>
  <c r="T24" i="3"/>
  <c r="K26" i="3"/>
  <c r="Q31" i="3"/>
  <c r="H33" i="3"/>
  <c r="T33" i="3"/>
  <c r="K35" i="3"/>
  <c r="Q39" i="3"/>
  <c r="H41" i="3"/>
  <c r="T41" i="3"/>
  <c r="K44" i="3"/>
  <c r="Q48" i="3"/>
  <c r="H50" i="3"/>
  <c r="T50" i="3"/>
  <c r="K52" i="3"/>
  <c r="H11" i="3"/>
  <c r="T11" i="3"/>
  <c r="K13" i="3"/>
  <c r="Q17" i="3"/>
  <c r="H19" i="3"/>
  <c r="T19" i="3"/>
  <c r="K21" i="3"/>
  <c r="Q25" i="3"/>
  <c r="H27" i="3"/>
  <c r="T27" i="3"/>
  <c r="K30" i="3"/>
  <c r="Q34" i="3"/>
  <c r="H36" i="3"/>
  <c r="T36" i="3"/>
  <c r="K38" i="3"/>
  <c r="Q43" i="3"/>
  <c r="H45" i="3"/>
  <c r="T45" i="3"/>
  <c r="K47" i="3"/>
  <c r="Q51" i="3"/>
  <c r="H14" i="3"/>
  <c r="H22" i="3"/>
  <c r="H31" i="3"/>
  <c r="H39" i="3"/>
  <c r="H48" i="3"/>
  <c r="H17" i="3"/>
  <c r="H25" i="3"/>
  <c r="H34" i="3"/>
  <c r="H51" i="3"/>
  <c r="F20" i="6"/>
  <c r="G20" i="6"/>
  <c r="I94" i="4" l="1"/>
  <c r="I97" i="4" s="1"/>
  <c r="N42" i="6" s="1"/>
  <c r="D49" i="4"/>
  <c r="D54" i="5"/>
  <c r="D69" i="4"/>
  <c r="D78" i="4"/>
  <c r="I66" i="4"/>
  <c r="I99" i="4" s="1"/>
  <c r="E66" i="4"/>
  <c r="E99" i="4" s="1"/>
  <c r="H66" i="4"/>
  <c r="H99" i="4" s="1"/>
  <c r="G94" i="4"/>
  <c r="G97" i="4" s="1"/>
  <c r="J42" i="6" s="1"/>
  <c r="BD59" i="5"/>
  <c r="AV59" i="5"/>
  <c r="AN59" i="5"/>
  <c r="AF59" i="5"/>
  <c r="X59" i="5"/>
  <c r="P59" i="5"/>
  <c r="H59" i="5"/>
  <c r="BC59" i="5"/>
  <c r="AU59" i="5"/>
  <c r="AM59" i="5"/>
  <c r="AE59" i="5"/>
  <c r="W59" i="5"/>
  <c r="O59" i="5"/>
  <c r="G59" i="5"/>
  <c r="BJ59" i="5"/>
  <c r="BB59" i="5"/>
  <c r="AT59" i="5"/>
  <c r="AL59" i="5"/>
  <c r="AD59" i="5"/>
  <c r="V59" i="5"/>
  <c r="N59" i="5"/>
  <c r="F59" i="5"/>
  <c r="BG59" i="5"/>
  <c r="AY59" i="5"/>
  <c r="AQ59" i="5"/>
  <c r="AI59" i="5"/>
  <c r="AA59" i="5"/>
  <c r="S59" i="5"/>
  <c r="K59" i="5"/>
  <c r="BF59" i="5"/>
  <c r="AX59" i="5"/>
  <c r="AP59" i="5"/>
  <c r="AH59" i="5"/>
  <c r="Z59" i="5"/>
  <c r="R59" i="5"/>
  <c r="J59" i="5"/>
  <c r="BE59" i="5"/>
  <c r="AW59" i="5"/>
  <c r="AO59" i="5"/>
  <c r="AG59" i="5"/>
  <c r="Y59" i="5"/>
  <c r="Q59" i="5"/>
  <c r="I59" i="5"/>
  <c r="AJ59" i="5"/>
  <c r="D59" i="5"/>
  <c r="BI59" i="5"/>
  <c r="AC59" i="5"/>
  <c r="BH59" i="5"/>
  <c r="AB59" i="5"/>
  <c r="BA59" i="5"/>
  <c r="U59" i="5"/>
  <c r="AZ59" i="5"/>
  <c r="T59" i="5"/>
  <c r="AS59" i="5"/>
  <c r="M59" i="5"/>
  <c r="AR59" i="5"/>
  <c r="L59" i="5"/>
  <c r="AK59" i="5"/>
  <c r="E59" i="5"/>
  <c r="G66" i="4"/>
  <c r="G99" i="4" s="1"/>
  <c r="BJ111" i="5"/>
  <c r="BB111" i="5"/>
  <c r="AT111" i="5"/>
  <c r="AL111" i="5"/>
  <c r="AD111" i="5"/>
  <c r="V111" i="5"/>
  <c r="N111" i="5"/>
  <c r="F111" i="5"/>
  <c r="BH111" i="5"/>
  <c r="AY111" i="5"/>
  <c r="AP111" i="5"/>
  <c r="AG111" i="5"/>
  <c r="X111" i="5"/>
  <c r="O111" i="5"/>
  <c r="E111" i="5"/>
  <c r="BG111" i="5"/>
  <c r="AX111" i="5"/>
  <c r="AO111" i="5"/>
  <c r="AF111" i="5"/>
  <c r="W111" i="5"/>
  <c r="M111" i="5"/>
  <c r="D111" i="5"/>
  <c r="BF111" i="5"/>
  <c r="AW111" i="5"/>
  <c r="AN111" i="5"/>
  <c r="AE111" i="5"/>
  <c r="U111" i="5"/>
  <c r="L111" i="5"/>
  <c r="BE111" i="5"/>
  <c r="AV111" i="5"/>
  <c r="AM111" i="5"/>
  <c r="AC111" i="5"/>
  <c r="T111" i="5"/>
  <c r="K111" i="5"/>
  <c r="BA111" i="5"/>
  <c r="AR111" i="5"/>
  <c r="AI111" i="5"/>
  <c r="Z111" i="5"/>
  <c r="Q111" i="5"/>
  <c r="H111" i="5"/>
  <c r="AS111" i="5"/>
  <c r="S111" i="5"/>
  <c r="AQ111" i="5"/>
  <c r="R111" i="5"/>
  <c r="AK111" i="5"/>
  <c r="P111" i="5"/>
  <c r="BI111" i="5"/>
  <c r="AJ111" i="5"/>
  <c r="J111" i="5"/>
  <c r="BC111" i="5"/>
  <c r="AB111" i="5"/>
  <c r="G111" i="5"/>
  <c r="AZ111" i="5"/>
  <c r="AA111" i="5"/>
  <c r="AU111" i="5"/>
  <c r="Y111" i="5"/>
  <c r="BD111" i="5"/>
  <c r="AH111" i="5"/>
  <c r="I111" i="5"/>
  <c r="E94" i="4"/>
  <c r="BF137" i="5"/>
  <c r="AX137" i="5"/>
  <c r="AP137" i="5"/>
  <c r="AH137" i="5"/>
  <c r="Z137" i="5"/>
  <c r="R137" i="5"/>
  <c r="J137" i="5"/>
  <c r="BJ137" i="5"/>
  <c r="BB137" i="5"/>
  <c r="AT137" i="5"/>
  <c r="AL137" i="5"/>
  <c r="AD137" i="5"/>
  <c r="V137" i="5"/>
  <c r="N137" i="5"/>
  <c r="F137" i="5"/>
  <c r="BI137" i="5"/>
  <c r="BA137" i="5"/>
  <c r="AS137" i="5"/>
  <c r="AK137" i="5"/>
  <c r="AC137" i="5"/>
  <c r="U137" i="5"/>
  <c r="M137" i="5"/>
  <c r="E137" i="5"/>
  <c r="BD137" i="5"/>
  <c r="AQ137" i="5"/>
  <c r="AE137" i="5"/>
  <c r="Q137" i="5"/>
  <c r="D137" i="5"/>
  <c r="BC137" i="5"/>
  <c r="AO137" i="5"/>
  <c r="AB137" i="5"/>
  <c r="P137" i="5"/>
  <c r="AZ137" i="5"/>
  <c r="AN137" i="5"/>
  <c r="AA137" i="5"/>
  <c r="O137" i="5"/>
  <c r="AY137" i="5"/>
  <c r="AM137" i="5"/>
  <c r="Y137" i="5"/>
  <c r="L137" i="5"/>
  <c r="BH137" i="5"/>
  <c r="AV137" i="5"/>
  <c r="AI137" i="5"/>
  <c r="W137" i="5"/>
  <c r="I137" i="5"/>
  <c r="BG137" i="5"/>
  <c r="AU137" i="5"/>
  <c r="AG137" i="5"/>
  <c r="T137" i="5"/>
  <c r="H137" i="5"/>
  <c r="BE137" i="5"/>
  <c r="G137" i="5"/>
  <c r="AW137" i="5"/>
  <c r="AR137" i="5"/>
  <c r="AJ137" i="5"/>
  <c r="X137" i="5"/>
  <c r="S137" i="5"/>
  <c r="K137" i="5"/>
  <c r="AF137" i="5"/>
  <c r="F66" i="4"/>
  <c r="F99" i="4" s="1"/>
  <c r="F43" i="6"/>
  <c r="D43" i="6" s="1"/>
  <c r="D98" i="4"/>
  <c r="F31" i="6"/>
  <c r="D28" i="5"/>
  <c r="D56" i="4"/>
  <c r="BG85" i="5"/>
  <c r="AY85" i="5"/>
  <c r="AQ85" i="5"/>
  <c r="AI85" i="5"/>
  <c r="AA85" i="5"/>
  <c r="S85" i="5"/>
  <c r="K85" i="5"/>
  <c r="BF85" i="5"/>
  <c r="AX85" i="5"/>
  <c r="AP85" i="5"/>
  <c r="AH85" i="5"/>
  <c r="Z85" i="5"/>
  <c r="R85" i="5"/>
  <c r="J85" i="5"/>
  <c r="BE85" i="5"/>
  <c r="AW85" i="5"/>
  <c r="AO85" i="5"/>
  <c r="AG85" i="5"/>
  <c r="Y85" i="5"/>
  <c r="Q85" i="5"/>
  <c r="I85" i="5"/>
  <c r="BI85" i="5"/>
  <c r="AU85" i="5"/>
  <c r="AJ85" i="5"/>
  <c r="V85" i="5"/>
  <c r="H85" i="5"/>
  <c r="BH85" i="5"/>
  <c r="AT85" i="5"/>
  <c r="AF85" i="5"/>
  <c r="U85" i="5"/>
  <c r="G85" i="5"/>
  <c r="BD85" i="5"/>
  <c r="AS85" i="5"/>
  <c r="AE85" i="5"/>
  <c r="T85" i="5"/>
  <c r="F85" i="5"/>
  <c r="BC85" i="5"/>
  <c r="AR85" i="5"/>
  <c r="AD85" i="5"/>
  <c r="P85" i="5"/>
  <c r="E85" i="5"/>
  <c r="BA85" i="5"/>
  <c r="AM85" i="5"/>
  <c r="AB85" i="5"/>
  <c r="N85" i="5"/>
  <c r="AZ85" i="5"/>
  <c r="AL85" i="5"/>
  <c r="X85" i="5"/>
  <c r="M85" i="5"/>
  <c r="BJ85" i="5"/>
  <c r="AV85" i="5"/>
  <c r="AK85" i="5"/>
  <c r="W85" i="5"/>
  <c r="L85" i="5"/>
  <c r="AN85" i="5"/>
  <c r="AC85" i="5"/>
  <c r="O85" i="5"/>
  <c r="D85" i="5"/>
  <c r="BB85" i="5"/>
  <c r="F94" i="4"/>
  <c r="F97" i="4" s="1"/>
  <c r="H42" i="6" s="1"/>
  <c r="D28" i="6"/>
  <c r="D57" i="4"/>
  <c r="D32" i="6" s="1"/>
  <c r="J44" i="6" l="1"/>
  <c r="G101" i="4"/>
  <c r="J46" i="6" s="1"/>
  <c r="G100" i="4"/>
  <c r="D31" i="6"/>
  <c r="D3" i="5"/>
  <c r="H44" i="6"/>
  <c r="F101" i="4"/>
  <c r="H46" i="6" s="1"/>
  <c r="F100" i="4"/>
  <c r="BH33" i="5"/>
  <c r="AZ33" i="5"/>
  <c r="AR33" i="5"/>
  <c r="AJ33" i="5"/>
  <c r="AB33" i="5"/>
  <c r="T33" i="5"/>
  <c r="L33" i="5"/>
  <c r="D33" i="5"/>
  <c r="BG33" i="5"/>
  <c r="AY33" i="5"/>
  <c r="AQ33" i="5"/>
  <c r="AI33" i="5"/>
  <c r="AA33" i="5"/>
  <c r="S33" i="5"/>
  <c r="K33" i="5"/>
  <c r="BF33" i="5"/>
  <c r="AX33" i="5"/>
  <c r="AP33" i="5"/>
  <c r="AH33" i="5"/>
  <c r="Z33" i="5"/>
  <c r="R33" i="5"/>
  <c r="J33" i="5"/>
  <c r="BI33" i="5"/>
  <c r="BC33" i="5"/>
  <c r="AO33" i="5"/>
  <c r="AD33" i="5"/>
  <c r="P33" i="5"/>
  <c r="E33" i="5"/>
  <c r="BB33" i="5"/>
  <c r="AN33" i="5"/>
  <c r="AC33" i="5"/>
  <c r="O33" i="5"/>
  <c r="BA33" i="5"/>
  <c r="AM33" i="5"/>
  <c r="Y33" i="5"/>
  <c r="N33" i="5"/>
  <c r="AW33" i="5"/>
  <c r="AL33" i="5"/>
  <c r="X33" i="5"/>
  <c r="M33" i="5"/>
  <c r="AV33" i="5"/>
  <c r="AK33" i="5"/>
  <c r="W33" i="5"/>
  <c r="I33" i="5"/>
  <c r="BJ33" i="5"/>
  <c r="AU33" i="5"/>
  <c r="AG33" i="5"/>
  <c r="V33" i="5"/>
  <c r="H33" i="5"/>
  <c r="BE33" i="5"/>
  <c r="AT33" i="5"/>
  <c r="AF33" i="5"/>
  <c r="U33" i="5"/>
  <c r="G33" i="5"/>
  <c r="BD33" i="5"/>
  <c r="AS33" i="5"/>
  <c r="AE33" i="5"/>
  <c r="Q33" i="5"/>
  <c r="F33" i="5"/>
  <c r="D94" i="4"/>
  <c r="E97" i="4"/>
  <c r="E101" i="4" s="1"/>
  <c r="L44" i="6"/>
  <c r="H100" i="4"/>
  <c r="H101" i="4"/>
  <c r="L46" i="6" s="1"/>
  <c r="F44" i="6"/>
  <c r="D99" i="4"/>
  <c r="N44" i="6"/>
  <c r="I100" i="4"/>
  <c r="I101" i="4"/>
  <c r="N46" i="6" s="1"/>
  <c r="F42" i="6" l="1"/>
  <c r="D42" i="6" s="1"/>
  <c r="D97" i="4"/>
  <c r="D101" i="4" s="1"/>
  <c r="BD8" i="5"/>
  <c r="AV8" i="5"/>
  <c r="AN8" i="5"/>
  <c r="AF8" i="5"/>
  <c r="X8" i="5"/>
  <c r="P8" i="5"/>
  <c r="H8" i="5"/>
  <c r="BC8" i="5"/>
  <c r="AU8" i="5"/>
  <c r="AM8" i="5"/>
  <c r="AE8" i="5"/>
  <c r="W8" i="5"/>
  <c r="O8" i="5"/>
  <c r="G8" i="5"/>
  <c r="BJ8" i="5"/>
  <c r="BB8" i="5"/>
  <c r="AT8" i="5"/>
  <c r="AL8" i="5"/>
  <c r="AD8" i="5"/>
  <c r="V8" i="5"/>
  <c r="N8" i="5"/>
  <c r="F8" i="5"/>
  <c r="BI8" i="5"/>
  <c r="BA8" i="5"/>
  <c r="AS8" i="5"/>
  <c r="AK8" i="5"/>
  <c r="AC8" i="5"/>
  <c r="U8" i="5"/>
  <c r="M8" i="5"/>
  <c r="E8" i="5"/>
  <c r="BH8" i="5"/>
  <c r="AZ8" i="5"/>
  <c r="AR8" i="5"/>
  <c r="AJ8" i="5"/>
  <c r="AB8" i="5"/>
  <c r="T8" i="5"/>
  <c r="L8" i="5"/>
  <c r="D8" i="5"/>
  <c r="BG8" i="5"/>
  <c r="AY8" i="5"/>
  <c r="AQ8" i="5"/>
  <c r="AI8" i="5"/>
  <c r="AA8" i="5"/>
  <c r="S8" i="5"/>
  <c r="K8" i="5"/>
  <c r="BF8" i="5"/>
  <c r="AX8" i="5"/>
  <c r="AP8" i="5"/>
  <c r="AH8" i="5"/>
  <c r="Z8" i="5"/>
  <c r="R8" i="5"/>
  <c r="J8" i="5"/>
  <c r="BE8" i="5"/>
  <c r="AW8" i="5"/>
  <c r="AO8" i="5"/>
  <c r="AG8" i="5"/>
  <c r="Y8" i="5"/>
  <c r="Q8" i="5"/>
  <c r="I8" i="5"/>
  <c r="H45" i="6"/>
  <c r="F52" i="4"/>
  <c r="L45" i="6"/>
  <c r="H52" i="4"/>
  <c r="J45" i="6"/>
  <c r="G52" i="4"/>
  <c r="N45" i="6"/>
  <c r="I52" i="4"/>
  <c r="E100" i="4"/>
  <c r="D44" i="6"/>
  <c r="F46" i="6" l="1"/>
  <c r="D46" i="6" s="1"/>
  <c r="F45" i="6"/>
  <c r="D45" i="6" s="1"/>
  <c r="D100" i="4"/>
  <c r="E52" i="4"/>
  <c r="C84" i="5"/>
  <c r="C85" i="5" s="1"/>
  <c r="D37" i="7"/>
  <c r="G61" i="4"/>
  <c r="J36" i="6" s="1"/>
  <c r="D22" i="7"/>
  <c r="C58" i="5"/>
  <c r="C59" i="5" s="1"/>
  <c r="F61" i="4"/>
  <c r="H36" i="6" s="1"/>
  <c r="D52" i="7"/>
  <c r="C110" i="5"/>
  <c r="C111" i="5" s="1"/>
  <c r="H61" i="4"/>
  <c r="L36" i="6" s="1"/>
  <c r="C136" i="5"/>
  <c r="C137" i="5" s="1"/>
  <c r="D67" i="7"/>
  <c r="I61" i="4"/>
  <c r="N36" i="6" s="1"/>
  <c r="G67" i="7" l="1"/>
  <c r="G78" i="7" s="1"/>
  <c r="I58" i="4" s="1"/>
  <c r="N33" i="6" s="1"/>
  <c r="E67" i="7"/>
  <c r="BH61" i="5"/>
  <c r="AZ61" i="5"/>
  <c r="AR61" i="5"/>
  <c r="AJ61" i="5"/>
  <c r="AB61" i="5"/>
  <c r="T61" i="5"/>
  <c r="L61" i="5"/>
  <c r="D61" i="5"/>
  <c r="BG61" i="5"/>
  <c r="AY61" i="5"/>
  <c r="AQ61" i="5"/>
  <c r="AI61" i="5"/>
  <c r="AA61" i="5"/>
  <c r="S61" i="5"/>
  <c r="K61" i="5"/>
  <c r="C61" i="5"/>
  <c r="BF61" i="5"/>
  <c r="AX61" i="5"/>
  <c r="AP61" i="5"/>
  <c r="AH61" i="5"/>
  <c r="Z61" i="5"/>
  <c r="R61" i="5"/>
  <c r="J61" i="5"/>
  <c r="BE61" i="5"/>
  <c r="AW61" i="5"/>
  <c r="AO61" i="5"/>
  <c r="AG61" i="5"/>
  <c r="Y61" i="5"/>
  <c r="Q61" i="5"/>
  <c r="BC61" i="5"/>
  <c r="AU61" i="5"/>
  <c r="AM61" i="5"/>
  <c r="AE61" i="5"/>
  <c r="W61" i="5"/>
  <c r="O61" i="5"/>
  <c r="G61" i="5"/>
  <c r="BJ61" i="5"/>
  <c r="BB61" i="5"/>
  <c r="AT61" i="5"/>
  <c r="AL61" i="5"/>
  <c r="AD61" i="5"/>
  <c r="V61" i="5"/>
  <c r="N61" i="5"/>
  <c r="F61" i="5"/>
  <c r="BI61" i="5"/>
  <c r="BI62" i="5" s="1"/>
  <c r="BA61" i="5"/>
  <c r="BA62" i="5" s="1"/>
  <c r="AS61" i="5"/>
  <c r="AK61" i="5"/>
  <c r="AC61" i="5"/>
  <c r="U61" i="5"/>
  <c r="M61" i="5"/>
  <c r="E61" i="5"/>
  <c r="H61" i="5"/>
  <c r="BD61" i="5"/>
  <c r="BD62" i="5" s="1"/>
  <c r="AV61" i="5"/>
  <c r="AV62" i="5" s="1"/>
  <c r="AN61" i="5"/>
  <c r="AN62" i="5" s="1"/>
  <c r="AF61" i="5"/>
  <c r="AF62" i="5" s="1"/>
  <c r="X61" i="5"/>
  <c r="X62" i="5" s="1"/>
  <c r="P61" i="5"/>
  <c r="P62" i="5" s="1"/>
  <c r="I61" i="5"/>
  <c r="G37" i="7"/>
  <c r="G48" i="7" s="1"/>
  <c r="G58" i="4" s="1"/>
  <c r="J33" i="6" s="1"/>
  <c r="E37" i="7"/>
  <c r="BC87" i="5"/>
  <c r="AU87" i="5"/>
  <c r="AM87" i="5"/>
  <c r="AE87" i="5"/>
  <c r="W87" i="5"/>
  <c r="O87" i="5"/>
  <c r="G87" i="5"/>
  <c r="BJ87" i="5"/>
  <c r="BB87" i="5"/>
  <c r="AT87" i="5"/>
  <c r="AL87" i="5"/>
  <c r="AD87" i="5"/>
  <c r="V87" i="5"/>
  <c r="N87" i="5"/>
  <c r="F87" i="5"/>
  <c r="BI87" i="5"/>
  <c r="BA87" i="5"/>
  <c r="AS87" i="5"/>
  <c r="AK87" i="5"/>
  <c r="AC87" i="5"/>
  <c r="U87" i="5"/>
  <c r="M87" i="5"/>
  <c r="E87" i="5"/>
  <c r="BE87" i="5"/>
  <c r="AY87" i="5"/>
  <c r="AN87" i="5"/>
  <c r="Z87" i="5"/>
  <c r="L87" i="5"/>
  <c r="AX87" i="5"/>
  <c r="AJ87" i="5"/>
  <c r="Y87" i="5"/>
  <c r="K87" i="5"/>
  <c r="K88" i="5" s="1"/>
  <c r="AW87" i="5"/>
  <c r="AI87" i="5"/>
  <c r="X87" i="5"/>
  <c r="J87" i="5"/>
  <c r="BH87" i="5"/>
  <c r="AV87" i="5"/>
  <c r="AH87" i="5"/>
  <c r="AH88" i="5" s="1"/>
  <c r="T87" i="5"/>
  <c r="T88" i="5" s="1"/>
  <c r="I87" i="5"/>
  <c r="BF87" i="5"/>
  <c r="AQ87" i="5"/>
  <c r="AF87" i="5"/>
  <c r="AF88" i="5" s="1"/>
  <c r="R87" i="5"/>
  <c r="D87" i="5"/>
  <c r="BD87" i="5"/>
  <c r="BD88" i="5" s="1"/>
  <c r="AP87" i="5"/>
  <c r="AP88" i="5" s="1"/>
  <c r="AB87" i="5"/>
  <c r="Q87" i="5"/>
  <c r="C87" i="5"/>
  <c r="AZ87" i="5"/>
  <c r="AO87" i="5"/>
  <c r="AA87" i="5"/>
  <c r="P87" i="5"/>
  <c r="P88" i="5" s="1"/>
  <c r="BG87" i="5"/>
  <c r="BG88" i="5" s="1"/>
  <c r="AR87" i="5"/>
  <c r="AG87" i="5"/>
  <c r="S87" i="5"/>
  <c r="H87" i="5"/>
  <c r="D7" i="7"/>
  <c r="F24" i="6"/>
  <c r="C32" i="5"/>
  <c r="C33" i="5" s="1"/>
  <c r="D52" i="4"/>
  <c r="C7" i="5" s="1"/>
  <c r="C8" i="5" s="1"/>
  <c r="E61" i="4"/>
  <c r="J23" i="7"/>
  <c r="F60" i="4" s="1"/>
  <c r="H35" i="6" s="1"/>
  <c r="E22" i="7"/>
  <c r="J22" i="7"/>
  <c r="F58" i="4" s="1"/>
  <c r="BJ139" i="5"/>
  <c r="BB139" i="5"/>
  <c r="AT139" i="5"/>
  <c r="AL139" i="5"/>
  <c r="AL140" i="5" s="1"/>
  <c r="AD139" i="5"/>
  <c r="V139" i="5"/>
  <c r="N139" i="5"/>
  <c r="F139" i="5"/>
  <c r="BF139" i="5"/>
  <c r="AX139" i="5"/>
  <c r="AP139" i="5"/>
  <c r="AH139" i="5"/>
  <c r="Z139" i="5"/>
  <c r="R139" i="5"/>
  <c r="J139" i="5"/>
  <c r="BE139" i="5"/>
  <c r="AW139" i="5"/>
  <c r="AO139" i="5"/>
  <c r="AG139" i="5"/>
  <c r="Y139" i="5"/>
  <c r="Y140" i="5" s="1"/>
  <c r="Q139" i="5"/>
  <c r="I139" i="5"/>
  <c r="BH139" i="5"/>
  <c r="AU139" i="5"/>
  <c r="AI139" i="5"/>
  <c r="U139" i="5"/>
  <c r="H139" i="5"/>
  <c r="BG139" i="5"/>
  <c r="BG140" i="5" s="1"/>
  <c r="AS139" i="5"/>
  <c r="AF139" i="5"/>
  <c r="T139" i="5"/>
  <c r="G139" i="5"/>
  <c r="G140" i="5" s="1"/>
  <c r="BD139" i="5"/>
  <c r="AR139" i="5"/>
  <c r="AE139" i="5"/>
  <c r="S139" i="5"/>
  <c r="S140" i="5" s="1"/>
  <c r="E139" i="5"/>
  <c r="BC139" i="5"/>
  <c r="AQ139" i="5"/>
  <c r="AC139" i="5"/>
  <c r="P139" i="5"/>
  <c r="D139" i="5"/>
  <c r="AZ139" i="5"/>
  <c r="AM139" i="5"/>
  <c r="AA139" i="5"/>
  <c r="AA140" i="5" s="1"/>
  <c r="M139" i="5"/>
  <c r="AY139" i="5"/>
  <c r="AK139" i="5"/>
  <c r="X139" i="5"/>
  <c r="L139" i="5"/>
  <c r="AV139" i="5"/>
  <c r="AV140" i="5" s="1"/>
  <c r="AN139" i="5"/>
  <c r="AN140" i="5" s="1"/>
  <c r="AJ139" i="5"/>
  <c r="AB139" i="5"/>
  <c r="O139" i="5"/>
  <c r="O140" i="5" s="1"/>
  <c r="BI139" i="5"/>
  <c r="K139" i="5"/>
  <c r="BA139" i="5"/>
  <c r="C139" i="5"/>
  <c r="W139" i="5"/>
  <c r="W140" i="5" s="1"/>
  <c r="BF113" i="5"/>
  <c r="AX113" i="5"/>
  <c r="AP113" i="5"/>
  <c r="AH113" i="5"/>
  <c r="Z113" i="5"/>
  <c r="R113" i="5"/>
  <c r="J113" i="5"/>
  <c r="J114" i="5" s="1"/>
  <c r="BC113" i="5"/>
  <c r="AT113" i="5"/>
  <c r="AK113" i="5"/>
  <c r="AB113" i="5"/>
  <c r="S113" i="5"/>
  <c r="I113" i="5"/>
  <c r="BB113" i="5"/>
  <c r="AS113" i="5"/>
  <c r="AS114" i="5" s="1"/>
  <c r="AJ113" i="5"/>
  <c r="AA113" i="5"/>
  <c r="Q113" i="5"/>
  <c r="H113" i="5"/>
  <c r="BJ113" i="5"/>
  <c r="BA113" i="5"/>
  <c r="AR113" i="5"/>
  <c r="AI113" i="5"/>
  <c r="AI114" i="5" s="1"/>
  <c r="Y113" i="5"/>
  <c r="P113" i="5"/>
  <c r="G113" i="5"/>
  <c r="BI113" i="5"/>
  <c r="AZ113" i="5"/>
  <c r="AQ113" i="5"/>
  <c r="AG113" i="5"/>
  <c r="X113" i="5"/>
  <c r="O113" i="5"/>
  <c r="F113" i="5"/>
  <c r="BG113" i="5"/>
  <c r="BE113" i="5"/>
  <c r="AV113" i="5"/>
  <c r="AM113" i="5"/>
  <c r="AD113" i="5"/>
  <c r="U113" i="5"/>
  <c r="U114" i="5" s="1"/>
  <c r="L113" i="5"/>
  <c r="L114" i="5" s="1"/>
  <c r="C113" i="5"/>
  <c r="BH113" i="5"/>
  <c r="BH114" i="5" s="1"/>
  <c r="AF113" i="5"/>
  <c r="K113" i="5"/>
  <c r="BD113" i="5"/>
  <c r="AE113" i="5"/>
  <c r="E113" i="5"/>
  <c r="AY113" i="5"/>
  <c r="AY114" i="5" s="1"/>
  <c r="AC113" i="5"/>
  <c r="D113" i="5"/>
  <c r="AW113" i="5"/>
  <c r="W113" i="5"/>
  <c r="AO113" i="5"/>
  <c r="T113" i="5"/>
  <c r="AN113" i="5"/>
  <c r="AN114" i="5" s="1"/>
  <c r="N113" i="5"/>
  <c r="N114" i="5" s="1"/>
  <c r="AL113" i="5"/>
  <c r="M113" i="5"/>
  <c r="AU113" i="5"/>
  <c r="V113" i="5"/>
  <c r="E52" i="7"/>
  <c r="G52" i="7"/>
  <c r="G63" i="7" s="1"/>
  <c r="H58" i="4" s="1"/>
  <c r="AQ114" i="5" l="1"/>
  <c r="K140" i="5"/>
  <c r="BI88" i="5"/>
  <c r="AP140" i="5"/>
  <c r="BI140" i="5"/>
  <c r="AM140" i="5"/>
  <c r="Y114" i="5"/>
  <c r="AJ114" i="5"/>
  <c r="BC114" i="5"/>
  <c r="AH140" i="5"/>
  <c r="E88" i="5"/>
  <c r="H62" i="5"/>
  <c r="E114" i="5"/>
  <c r="M62" i="5"/>
  <c r="AU114" i="5"/>
  <c r="M140" i="5"/>
  <c r="BC140" i="5"/>
  <c r="AG88" i="5"/>
  <c r="AV88" i="5"/>
  <c r="E62" i="5"/>
  <c r="AO88" i="5"/>
  <c r="R88" i="5"/>
  <c r="AW114" i="5"/>
  <c r="BF62" i="5"/>
  <c r="AC114" i="5"/>
  <c r="BF114" i="5"/>
  <c r="AD140" i="5"/>
  <c r="I88" i="5"/>
  <c r="BE88" i="5"/>
  <c r="R62" i="5"/>
  <c r="S62" i="5"/>
  <c r="T62" i="5"/>
  <c r="I62" i="5"/>
  <c r="AE114" i="5"/>
  <c r="V114" i="5"/>
  <c r="K114" i="5"/>
  <c r="S114" i="5"/>
  <c r="AH114" i="5"/>
  <c r="AU140" i="5"/>
  <c r="H88" i="5"/>
  <c r="AF114" i="5"/>
  <c r="BE114" i="5"/>
  <c r="BI114" i="5"/>
  <c r="H114" i="5"/>
  <c r="AY140" i="5"/>
  <c r="AQ140" i="5"/>
  <c r="J140" i="5"/>
  <c r="S88" i="5"/>
  <c r="X88" i="5"/>
  <c r="Z88" i="5"/>
  <c r="AK88" i="5"/>
  <c r="AC62" i="5"/>
  <c r="V140" i="5"/>
  <c r="AK62" i="5"/>
  <c r="AL114" i="5"/>
  <c r="F114" i="5"/>
  <c r="AA114" i="5"/>
  <c r="AT114" i="5"/>
  <c r="AJ140" i="5"/>
  <c r="E140" i="5"/>
  <c r="AS140" i="5"/>
  <c r="Q140" i="5"/>
  <c r="AR88" i="5"/>
  <c r="AB88" i="5"/>
  <c r="AW88" i="5"/>
  <c r="AY88" i="5"/>
  <c r="BA88" i="5"/>
  <c r="AS62" i="5"/>
  <c r="BJ88" i="5"/>
  <c r="X114" i="5"/>
  <c r="AZ140" i="5"/>
  <c r="AE140" i="5"/>
  <c r="H140" i="5"/>
  <c r="AG140" i="5"/>
  <c r="AT140" i="5"/>
  <c r="BD35" i="5"/>
  <c r="AV35" i="5"/>
  <c r="AN35" i="5"/>
  <c r="AF35" i="5"/>
  <c r="X35" i="5"/>
  <c r="P35" i="5"/>
  <c r="H35" i="5"/>
  <c r="BC35" i="5"/>
  <c r="AU35" i="5"/>
  <c r="AM35" i="5"/>
  <c r="AE35" i="5"/>
  <c r="W35" i="5"/>
  <c r="O35" i="5"/>
  <c r="G35" i="5"/>
  <c r="BJ35" i="5"/>
  <c r="BB35" i="5"/>
  <c r="AT35" i="5"/>
  <c r="AL35" i="5"/>
  <c r="AD35" i="5"/>
  <c r="V35" i="5"/>
  <c r="N35" i="5"/>
  <c r="F35" i="5"/>
  <c r="BG35" i="5"/>
  <c r="AY35" i="5"/>
  <c r="BE35" i="5"/>
  <c r="BE36" i="5" s="1"/>
  <c r="AW35" i="5"/>
  <c r="AW36" i="5" s="1"/>
  <c r="AO35" i="5"/>
  <c r="AO36" i="5" s="1"/>
  <c r="AG35" i="5"/>
  <c r="AG36" i="5" s="1"/>
  <c r="Y35" i="5"/>
  <c r="Q35" i="5"/>
  <c r="I35" i="5"/>
  <c r="I36" i="5" s="1"/>
  <c r="BI35" i="5"/>
  <c r="AQ35" i="5"/>
  <c r="AA35" i="5"/>
  <c r="K35" i="5"/>
  <c r="BH35" i="5"/>
  <c r="AP35" i="5"/>
  <c r="Z35" i="5"/>
  <c r="J35" i="5"/>
  <c r="BF35" i="5"/>
  <c r="AK35" i="5"/>
  <c r="U35" i="5"/>
  <c r="E35" i="5"/>
  <c r="BA35" i="5"/>
  <c r="AJ35" i="5"/>
  <c r="T35" i="5"/>
  <c r="D35" i="5"/>
  <c r="AZ35" i="5"/>
  <c r="AZ36" i="5" s="1"/>
  <c r="AI35" i="5"/>
  <c r="S35" i="5"/>
  <c r="C35" i="5"/>
  <c r="AX35" i="5"/>
  <c r="AH35" i="5"/>
  <c r="R35" i="5"/>
  <c r="AS35" i="5"/>
  <c r="AC35" i="5"/>
  <c r="M35" i="5"/>
  <c r="AR35" i="5"/>
  <c r="AB35" i="5"/>
  <c r="L35" i="5"/>
  <c r="Y88" i="5"/>
  <c r="F88" i="5"/>
  <c r="G88" i="5"/>
  <c r="BJ62" i="5"/>
  <c r="Q62" i="5"/>
  <c r="Z62" i="5"/>
  <c r="AA62" i="5"/>
  <c r="AB62" i="5"/>
  <c r="O114" i="5"/>
  <c r="E48" i="7"/>
  <c r="J36" i="7"/>
  <c r="G59" i="4" s="1"/>
  <c r="J34" i="6" s="1"/>
  <c r="BC62" i="5"/>
  <c r="L33" i="6"/>
  <c r="I33" i="6"/>
  <c r="T114" i="5"/>
  <c r="AD114" i="5"/>
  <c r="AG114" i="5"/>
  <c r="AR114" i="5"/>
  <c r="BB114" i="5"/>
  <c r="R114" i="5"/>
  <c r="BA140" i="5"/>
  <c r="L140" i="5"/>
  <c r="C147" i="5"/>
  <c r="C152" i="5"/>
  <c r="I60" i="4" s="1"/>
  <c r="N35" i="6" s="1"/>
  <c r="D140" i="5"/>
  <c r="C143" i="5" s="1"/>
  <c r="AR140" i="5"/>
  <c r="U140" i="5"/>
  <c r="AO140" i="5"/>
  <c r="AX140" i="5"/>
  <c r="BB140" i="5"/>
  <c r="AA88" i="5"/>
  <c r="D88" i="5"/>
  <c r="C96" i="5" s="1"/>
  <c r="C100" i="5"/>
  <c r="G60" i="4" s="1"/>
  <c r="J35" i="6" s="1"/>
  <c r="C95" i="5"/>
  <c r="AJ88" i="5"/>
  <c r="M88" i="5"/>
  <c r="N88" i="5"/>
  <c r="O88" i="5"/>
  <c r="F62" i="5"/>
  <c r="G62" i="5"/>
  <c r="Y62" i="5"/>
  <c r="AH62" i="5"/>
  <c r="AI62" i="5"/>
  <c r="AJ62" i="5"/>
  <c r="E63" i="7"/>
  <c r="J51" i="7"/>
  <c r="H59" i="4" s="1"/>
  <c r="AO114" i="5"/>
  <c r="BD114" i="5"/>
  <c r="AM114" i="5"/>
  <c r="BA114" i="5"/>
  <c r="I114" i="5"/>
  <c r="Z114" i="5"/>
  <c r="X140" i="5"/>
  <c r="P140" i="5"/>
  <c r="BD140" i="5"/>
  <c r="AI140" i="5"/>
  <c r="AW140" i="5"/>
  <c r="BF140" i="5"/>
  <c r="BJ140" i="5"/>
  <c r="J7" i="7"/>
  <c r="E58" i="4" s="1"/>
  <c r="E7" i="7"/>
  <c r="BH88" i="5"/>
  <c r="AX88" i="5"/>
  <c r="U88" i="5"/>
  <c r="V88" i="5"/>
  <c r="W88" i="5"/>
  <c r="N62" i="5"/>
  <c r="O62" i="5"/>
  <c r="AG62" i="5"/>
  <c r="AP62" i="5"/>
  <c r="AQ62" i="5"/>
  <c r="AR62" i="5"/>
  <c r="W114" i="5"/>
  <c r="AV114" i="5"/>
  <c r="AZ114" i="5"/>
  <c r="BJ114" i="5"/>
  <c r="AK140" i="5"/>
  <c r="AC140" i="5"/>
  <c r="BE140" i="5"/>
  <c r="F140" i="5"/>
  <c r="H33" i="6"/>
  <c r="G33" i="6"/>
  <c r="AZ88" i="5"/>
  <c r="J88" i="5"/>
  <c r="L88" i="5"/>
  <c r="AC88" i="5"/>
  <c r="AD88" i="5"/>
  <c r="AE88" i="5"/>
  <c r="U62" i="5"/>
  <c r="V62" i="5"/>
  <c r="W62" i="5"/>
  <c r="AO62" i="5"/>
  <c r="AX62" i="5"/>
  <c r="AY62" i="5"/>
  <c r="AZ62" i="5"/>
  <c r="BH10" i="5"/>
  <c r="AZ10" i="5"/>
  <c r="AR10" i="5"/>
  <c r="AJ10" i="5"/>
  <c r="AB10" i="5"/>
  <c r="T10" i="5"/>
  <c r="L10" i="5"/>
  <c r="D10" i="5"/>
  <c r="BG10" i="5"/>
  <c r="AY10" i="5"/>
  <c r="AQ10" i="5"/>
  <c r="AI10" i="5"/>
  <c r="AA10" i="5"/>
  <c r="S10" i="5"/>
  <c r="K10" i="5"/>
  <c r="C10" i="5"/>
  <c r="BF10" i="5"/>
  <c r="AX10" i="5"/>
  <c r="AP10" i="5"/>
  <c r="AH10" i="5"/>
  <c r="Z10" i="5"/>
  <c r="R10" i="5"/>
  <c r="J10" i="5"/>
  <c r="BE10" i="5"/>
  <c r="AW10" i="5"/>
  <c r="AO10" i="5"/>
  <c r="AG10" i="5"/>
  <c r="Y10" i="5"/>
  <c r="Q10" i="5"/>
  <c r="I10" i="5"/>
  <c r="BD10" i="5"/>
  <c r="AV10" i="5"/>
  <c r="AN10" i="5"/>
  <c r="AF10" i="5"/>
  <c r="X10" i="5"/>
  <c r="P10" i="5"/>
  <c r="H10" i="5"/>
  <c r="BC10" i="5"/>
  <c r="AU10" i="5"/>
  <c r="AM10" i="5"/>
  <c r="AE10" i="5"/>
  <c r="W10" i="5"/>
  <c r="O10" i="5"/>
  <c r="G10" i="5"/>
  <c r="BJ10" i="5"/>
  <c r="BB10" i="5"/>
  <c r="AT10" i="5"/>
  <c r="AL10" i="5"/>
  <c r="AD10" i="5"/>
  <c r="V10" i="5"/>
  <c r="N10" i="5"/>
  <c r="F10" i="5"/>
  <c r="BI10" i="5"/>
  <c r="BA10" i="5"/>
  <c r="AS10" i="5"/>
  <c r="AK10" i="5"/>
  <c r="AC10" i="5"/>
  <c r="U10" i="5"/>
  <c r="M10" i="5"/>
  <c r="E10" i="5"/>
  <c r="AB114" i="5"/>
  <c r="AP114" i="5"/>
  <c r="T140" i="5"/>
  <c r="BH140" i="5"/>
  <c r="N140" i="5"/>
  <c r="G22" i="7"/>
  <c r="E33" i="7"/>
  <c r="J21" i="7"/>
  <c r="F59" i="4" s="1"/>
  <c r="AQ88" i="5"/>
  <c r="AL88" i="5"/>
  <c r="AM88" i="5"/>
  <c r="AD62" i="5"/>
  <c r="AE62" i="5"/>
  <c r="AW62" i="5"/>
  <c r="BG62" i="5"/>
  <c r="BH62" i="5"/>
  <c r="BB62" i="5"/>
  <c r="M114" i="5"/>
  <c r="C126" i="5"/>
  <c r="H60" i="4" s="1"/>
  <c r="L35" i="6" s="1"/>
  <c r="D114" i="5"/>
  <c r="C117" i="5" s="1"/>
  <c r="C121" i="5"/>
  <c r="BG114" i="5"/>
  <c r="G114" i="5"/>
  <c r="Q114" i="5"/>
  <c r="AK114" i="5"/>
  <c r="AX114" i="5"/>
  <c r="AB140" i="5"/>
  <c r="AF140" i="5"/>
  <c r="I140" i="5"/>
  <c r="R140" i="5"/>
  <c r="Q88" i="5"/>
  <c r="BF88" i="5"/>
  <c r="AI88" i="5"/>
  <c r="AN88" i="5"/>
  <c r="AS88" i="5"/>
  <c r="AT88" i="5"/>
  <c r="AU88" i="5"/>
  <c r="AL62" i="5"/>
  <c r="AM62" i="5"/>
  <c r="BE62" i="5"/>
  <c r="C69" i="5"/>
  <c r="C74" i="5"/>
  <c r="D62" i="5"/>
  <c r="C70" i="5" s="1"/>
  <c r="E78" i="7"/>
  <c r="J66" i="7"/>
  <c r="I59" i="4" s="1"/>
  <c r="N34" i="6" s="1"/>
  <c r="P114" i="5"/>
  <c r="Z140" i="5"/>
  <c r="F36" i="6"/>
  <c r="D61" i="4"/>
  <c r="D36" i="6" s="1"/>
  <c r="BB88" i="5"/>
  <c r="BC88" i="5"/>
  <c r="AT62" i="5"/>
  <c r="AU62" i="5"/>
  <c r="J62" i="5"/>
  <c r="K62" i="5"/>
  <c r="L62" i="5"/>
  <c r="Z36" i="5" l="1"/>
  <c r="BD36" i="5"/>
  <c r="L36" i="5"/>
  <c r="P36" i="5"/>
  <c r="AV11" i="5"/>
  <c r="BE11" i="5"/>
  <c r="AS36" i="5"/>
  <c r="U11" i="5"/>
  <c r="C91" i="5"/>
  <c r="F36" i="5"/>
  <c r="AH36" i="5"/>
  <c r="AP36" i="5"/>
  <c r="AC11" i="5"/>
  <c r="H36" i="5"/>
  <c r="Q36" i="5"/>
  <c r="Y36" i="5"/>
  <c r="J36" i="5"/>
  <c r="R36" i="5"/>
  <c r="C122" i="5"/>
  <c r="AF36" i="5"/>
  <c r="M36" i="5"/>
  <c r="AI36" i="5"/>
  <c r="AK36" i="5"/>
  <c r="AQ36" i="5"/>
  <c r="AT36" i="5"/>
  <c r="AC36" i="5"/>
  <c r="BI36" i="5"/>
  <c r="AY36" i="5"/>
  <c r="BB36" i="5"/>
  <c r="AE11" i="5"/>
  <c r="AN11" i="5"/>
  <c r="AW11" i="5"/>
  <c r="BF11" i="5"/>
  <c r="AK11" i="5"/>
  <c r="AL11" i="5"/>
  <c r="I11" i="5"/>
  <c r="R11" i="5"/>
  <c r="AS11" i="5"/>
  <c r="H11" i="5"/>
  <c r="Q11" i="5"/>
  <c r="Z11" i="5"/>
  <c r="S36" i="5"/>
  <c r="U36" i="5"/>
  <c r="AA36" i="5"/>
  <c r="V11" i="5"/>
  <c r="W11" i="5"/>
  <c r="AF11" i="5"/>
  <c r="AO11" i="5"/>
  <c r="AX11" i="5"/>
  <c r="AY11" i="5"/>
  <c r="AZ11" i="5"/>
  <c r="AU36" i="5"/>
  <c r="BF36" i="5"/>
  <c r="BC36" i="5"/>
  <c r="AM11" i="5"/>
  <c r="C18" i="5"/>
  <c r="D11" i="5"/>
  <c r="C19" i="5" s="1"/>
  <c r="C23" i="5"/>
  <c r="D60" i="4" s="1"/>
  <c r="D35" i="6" s="1"/>
  <c r="D36" i="5"/>
  <c r="C39" i="5" s="1"/>
  <c r="C43" i="5"/>
  <c r="C48" i="5"/>
  <c r="E60" i="4" s="1"/>
  <c r="F35" i="6" s="1"/>
  <c r="BG36" i="5"/>
  <c r="BJ36" i="5"/>
  <c r="C65" i="5"/>
  <c r="AT11" i="5"/>
  <c r="AU11" i="5"/>
  <c r="BD11" i="5"/>
  <c r="J11" i="5"/>
  <c r="K11" i="5"/>
  <c r="L11" i="5"/>
  <c r="L34" i="6"/>
  <c r="I34" i="6"/>
  <c r="C148" i="5"/>
  <c r="T36" i="5"/>
  <c r="G36" i="5"/>
  <c r="BH11" i="5"/>
  <c r="BB11" i="5"/>
  <c r="BC11" i="5"/>
  <c r="S11" i="5"/>
  <c r="T11" i="5"/>
  <c r="E18" i="7"/>
  <c r="J6" i="7"/>
  <c r="E59" i="4" s="1"/>
  <c r="F34" i="6" s="1"/>
  <c r="G7" i="7"/>
  <c r="AJ36" i="5"/>
  <c r="N36" i="5"/>
  <c r="O36" i="5"/>
  <c r="X36" i="5"/>
  <c r="BG11" i="5"/>
  <c r="BA11" i="5"/>
  <c r="BI11" i="5"/>
  <c r="BJ11" i="5"/>
  <c r="AA11" i="5"/>
  <c r="AB11" i="5"/>
  <c r="F33" i="6"/>
  <c r="D58" i="4"/>
  <c r="AX36" i="5"/>
  <c r="BA36" i="5"/>
  <c r="BH36" i="5"/>
  <c r="V36" i="5"/>
  <c r="W36" i="5"/>
  <c r="H34" i="6"/>
  <c r="G34" i="6"/>
  <c r="E11" i="5"/>
  <c r="F11" i="5"/>
  <c r="G11" i="5"/>
  <c r="P11" i="5"/>
  <c r="Y11" i="5"/>
  <c r="AH11" i="5"/>
  <c r="AI11" i="5"/>
  <c r="AJ11" i="5"/>
  <c r="AB36" i="5"/>
  <c r="E36" i="5"/>
  <c r="K36" i="5"/>
  <c r="AD36" i="5"/>
  <c r="AE36" i="5"/>
  <c r="AN36" i="5"/>
  <c r="AD11" i="5"/>
  <c r="M11" i="5"/>
  <c r="N11" i="5"/>
  <c r="O11" i="5"/>
  <c r="X11" i="5"/>
  <c r="AG11" i="5"/>
  <c r="AP11" i="5"/>
  <c r="AQ11" i="5"/>
  <c r="AR11" i="5"/>
  <c r="AR36" i="5"/>
  <c r="AL36" i="5"/>
  <c r="AM36" i="5"/>
  <c r="AV36" i="5"/>
  <c r="C14" i="5" l="1"/>
  <c r="C44" i="5"/>
  <c r="D33" i="6"/>
  <c r="E33" i="6"/>
</calcChain>
</file>

<file path=xl/sharedStrings.xml><?xml version="1.0" encoding="utf-8"?>
<sst xmlns="http://schemas.openxmlformats.org/spreadsheetml/2006/main" count="735" uniqueCount="181">
  <si>
    <t>COST BOM sheet</t>
  </si>
  <si>
    <t>&lt;--Use Option Description under each column to descibe the particular option you are proposing; e.g. Starllink 5Tb solution</t>
  </si>
  <si>
    <t xml:space="preserve">RENTAL </t>
  </si>
  <si>
    <t>&lt;--Use ITEM cell to describe the specific equipment you are proposing; e.g., Starllink Flat High Performance (FHP)</t>
  </si>
  <si>
    <t>&lt;--Use CATEGORY drop down menu to select the category for the equipment; e.g., LEO VSAT equipment</t>
  </si>
  <si>
    <t>&lt;--Use UNIT COST to enter the cost for ONE of the equipment items you are proposing</t>
  </si>
  <si>
    <t>&lt;--Use QUANTITY (QTY) to enter the number of ITEMS you are adding to the assembly; e.g., enter 2 for a dual Starlink antenna maritime solution</t>
  </si>
  <si>
    <t>&lt;--Use Notes/Comments/Assumptions to describe any non-standard ITEM assumptions e.g., this is a placeholder number until firm pricing is received from vendor</t>
  </si>
  <si>
    <t>&lt;--Use PURCHASE MARKUP to enter your % markup to calculate sale price for an item, e.g., 40 for a 40% markup on your item; single unit pricing will show in the UNIT SALE PRICE cell</t>
  </si>
  <si>
    <t>PRICING sheet</t>
  </si>
  <si>
    <t>&lt;--Use TERM (MONTHS) cell to enter the number of contracted months you are proposing to the customer; e.g. 36 for a 3 year contract</t>
  </si>
  <si>
    <t>&lt;--Use NUMBER OF SITES cell to enter the number of customer sites with the exact configuration in the corresponding column from the COST BOM</t>
  </si>
  <si>
    <t>&lt;--Use MONTHLY rate cell to enter the MONTHLY USD rate you are proposing to the customer</t>
  </si>
  <si>
    <t xml:space="preserve">&lt;--Use INSTALL &amp; DOWN PAYMENT cell to enter any upront down payment or estimated or fixed charged install </t>
  </si>
  <si>
    <t>Customer -&gt;</t>
  </si>
  <si>
    <t>Column 1</t>
  </si>
  <si>
    <t>Column 2</t>
  </si>
  <si>
    <t>Column 3</t>
  </si>
  <si>
    <t>Column 4</t>
  </si>
  <si>
    <t>Column 5</t>
  </si>
  <si>
    <t xml:space="preserve"> </t>
  </si>
  <si>
    <t>Option Description-&gt;</t>
  </si>
  <si>
    <t>Rental Items</t>
  </si>
  <si>
    <t>Item</t>
  </si>
  <si>
    <t>Category</t>
  </si>
  <si>
    <t>Unit Cost</t>
  </si>
  <si>
    <t>Qty</t>
  </si>
  <si>
    <t>Total Cost</t>
  </si>
  <si>
    <t>ASSEMBLY</t>
  </si>
  <si>
    <t>Notes / Comments / Assumptions</t>
  </si>
  <si>
    <t>-</t>
  </si>
  <si>
    <t>ANCILLARY ITEMS</t>
  </si>
  <si>
    <t>INSTALLATION</t>
  </si>
  <si>
    <t>RECURRING</t>
  </si>
  <si>
    <t>Starlink Bandwidth</t>
  </si>
  <si>
    <t>LEO, MEO, GEO Subscription Recurring</t>
  </si>
  <si>
    <t>Starlink Private Circuit Per Site (SecureLynk)</t>
  </si>
  <si>
    <t>Local Terminal Fee - 10</t>
  </si>
  <si>
    <t>Local Terminal Fee - 5</t>
  </si>
  <si>
    <t>DRT to INET Circuits</t>
  </si>
  <si>
    <t>NOC Fee</t>
  </si>
  <si>
    <t>Sale Items</t>
  </si>
  <si>
    <t>Description--&gt;</t>
  </si>
  <si>
    <t>Target Margin</t>
  </si>
  <si>
    <t>Unit Sales Price</t>
  </si>
  <si>
    <t>Total Sale Price</t>
  </si>
  <si>
    <t>VSAT Equipment</t>
  </si>
  <si>
    <t>Inst Labor Contract Labor</t>
  </si>
  <si>
    <t>Rental/Lease Site(s) Options</t>
  </si>
  <si>
    <t>Option Description</t>
  </si>
  <si>
    <t>→</t>
  </si>
  <si>
    <t>Term (Months)</t>
  </si>
  <si>
    <t>Number of Sites (Same Configuration)</t>
  </si>
  <si>
    <t>Monthly Rate per site</t>
  </si>
  <si>
    <t>Flat Rate Installation or Down Payment</t>
  </si>
  <si>
    <t>Rental/Lease Items</t>
  </si>
  <si>
    <t>Summary</t>
  </si>
  <si>
    <t>Materials Cost</t>
  </si>
  <si>
    <t>Install Equipment</t>
  </si>
  <si>
    <t>Install Misc Goods</t>
  </si>
  <si>
    <t>RF Equipment</t>
  </si>
  <si>
    <t>LEO VSAT Equipment</t>
  </si>
  <si>
    <t>MEO VSAT Equipment</t>
  </si>
  <si>
    <t>GEO VSAT Equipment</t>
  </si>
  <si>
    <t>VSAT - GENERAL EQUIP (Modems, OBM, etc.)</t>
  </si>
  <si>
    <t>Network Equipment</t>
  </si>
  <si>
    <t>Phones &amp; Intercoms</t>
  </si>
  <si>
    <t>SCADA Equipment</t>
  </si>
  <si>
    <t>Other</t>
  </si>
  <si>
    <t>Labor Cost</t>
  </si>
  <si>
    <t xml:space="preserve">Project Management </t>
  </si>
  <si>
    <t>Engineering</t>
  </si>
  <si>
    <t>Field Installation</t>
  </si>
  <si>
    <t>Labor - Admin</t>
  </si>
  <si>
    <t>Labor - Documentation</t>
  </si>
  <si>
    <t>Contract Labor</t>
  </si>
  <si>
    <t>Travel (Air, Uber, Parking, etc)</t>
  </si>
  <si>
    <t>Freight and Shipping</t>
  </si>
  <si>
    <t>Vehicle or Equipment Rental</t>
  </si>
  <si>
    <t>Mileage</t>
  </si>
  <si>
    <t>Hotel &amp; Meals</t>
  </si>
  <si>
    <t>Recurring Cost</t>
  </si>
  <si>
    <t>3rd Party Services</t>
  </si>
  <si>
    <t>Terrestrial Connectivity</t>
  </si>
  <si>
    <t>Tower Rental</t>
  </si>
  <si>
    <t>Cellular or Traditional Phone Plan</t>
  </si>
  <si>
    <t>*Contingency</t>
  </si>
  <si>
    <t>SUM</t>
  </si>
  <si>
    <t>Percentage</t>
  </si>
  <si>
    <t>Value</t>
  </si>
  <si>
    <t>Rental</t>
  </si>
  <si>
    <t>Capex</t>
  </si>
  <si>
    <t>Operating Costs (Monthly)</t>
  </si>
  <si>
    <t>TCV</t>
  </si>
  <si>
    <t>Monthly Rate</t>
  </si>
  <si>
    <t>Monthly Rental Gross Profit</t>
  </si>
  <si>
    <t>Monthly Rental Contribution Margin %</t>
  </si>
  <si>
    <t>NPV</t>
  </si>
  <si>
    <t>IRR</t>
  </si>
  <si>
    <t>….</t>
  </si>
  <si>
    <t>Payback Period in Months</t>
  </si>
  <si>
    <t>Cash Flow</t>
  </si>
  <si>
    <t>Number of Packages (Same Configuration)</t>
  </si>
  <si>
    <t>Each Package Sale Price</t>
  </si>
  <si>
    <t>Total Hardware Cost</t>
  </si>
  <si>
    <t>Install Other</t>
  </si>
  <si>
    <t>Intercoms</t>
  </si>
  <si>
    <t>Total Labor Cost</t>
  </si>
  <si>
    <t xml:space="preserve">Inst Labor Project Management </t>
  </si>
  <si>
    <t>Inst Labor Engineering</t>
  </si>
  <si>
    <t>Inst Labor Field Installation</t>
  </si>
  <si>
    <t>Inst Labor Admin</t>
  </si>
  <si>
    <t>Inst Labor Documentation</t>
  </si>
  <si>
    <t>Inst Other Travel</t>
  </si>
  <si>
    <t>Inst Other Freight and Shipping</t>
  </si>
  <si>
    <t>Inst Other Car Rental</t>
  </si>
  <si>
    <t>Inst Other Hotel</t>
  </si>
  <si>
    <t>Inst Other Meals</t>
  </si>
  <si>
    <t>Contingency</t>
  </si>
  <si>
    <t>Purchase</t>
  </si>
  <si>
    <t>Sale Price</t>
  </si>
  <si>
    <t>Sale Gross Profit</t>
  </si>
  <si>
    <t>Sale Gross Margin %</t>
  </si>
  <si>
    <t>Payback</t>
  </si>
  <si>
    <t>Summary Column</t>
  </si>
  <si>
    <t>Monthly Gross Profit</t>
  </si>
  <si>
    <t>Flat Rate Install</t>
  </si>
  <si>
    <t>Initial investment</t>
  </si>
  <si>
    <t>Cash flows</t>
  </si>
  <si>
    <t>Cumulative cash flows</t>
  </si>
  <si>
    <t>Payback period</t>
  </si>
  <si>
    <t>Breaking it down &gt;</t>
  </si>
  <si>
    <t>The Integer</t>
  </si>
  <si>
    <t>The Fraction</t>
  </si>
  <si>
    <t>Bonus: Payback period calculations in just one cell</t>
  </si>
  <si>
    <t>Business Case</t>
  </si>
  <si>
    <t>Date:</t>
  </si>
  <si>
    <t>Customer:</t>
  </si>
  <si>
    <t>Account Manager:</t>
  </si>
  <si>
    <t>Solution Engineer:</t>
  </si>
  <si>
    <t>Project Name:</t>
  </si>
  <si>
    <t>Project Description</t>
  </si>
  <si>
    <t xml:space="preserve">Financial Summary </t>
  </si>
  <si>
    <t>Option 1</t>
  </si>
  <si>
    <t>Option 2</t>
  </si>
  <si>
    <t>Option 3</t>
  </si>
  <si>
    <t>Option 4</t>
  </si>
  <si>
    <t>Option 5</t>
  </si>
  <si>
    <t>Number of Sites/Units</t>
  </si>
  <si>
    <t>Costs</t>
  </si>
  <si>
    <t>Labor</t>
  </si>
  <si>
    <t>Revenue</t>
  </si>
  <si>
    <t>Flat Rate Installation</t>
  </si>
  <si>
    <t>Monthly Contribution Margin</t>
  </si>
  <si>
    <t>Number Packages (Same Configuration)</t>
  </si>
  <si>
    <t>Hardware Cost</t>
  </si>
  <si>
    <t>Deal Gross Profit</t>
  </si>
  <si>
    <t>Contribution Margin</t>
  </si>
  <si>
    <t>Approval Signatures</t>
  </si>
  <si>
    <t>CEO:</t>
  </si>
  <si>
    <t>CFO:</t>
  </si>
  <si>
    <t>Region GM and/or Area GM:</t>
  </si>
  <si>
    <t>Sales Engineer and/or VP Engineering:</t>
  </si>
  <si>
    <t>CCO and/or VP Sales</t>
  </si>
  <si>
    <t>WACC</t>
  </si>
  <si>
    <t>Cost of Capital</t>
  </si>
  <si>
    <t>COLUMN 1</t>
  </si>
  <si>
    <t>YEAR</t>
  </si>
  <si>
    <t>CAPEX</t>
  </si>
  <si>
    <t>Cumulative Cash Flow</t>
  </si>
  <si>
    <t>Footnotes</t>
  </si>
  <si>
    <t>Year</t>
  </si>
  <si>
    <t>Cash Flow is Calculated from Gross Margin Dollars</t>
  </si>
  <si>
    <t>Payback Month</t>
  </si>
  <si>
    <t>Notes/Comments/Assumptions</t>
  </si>
  <si>
    <t>Sum-PV</t>
  </si>
  <si>
    <t>COLUMN 2</t>
  </si>
  <si>
    <t>COLUMN 3</t>
  </si>
  <si>
    <t>COLUMN 4</t>
  </si>
  <si>
    <t>COLUMN 5</t>
  </si>
  <si>
    <t>Satellite: P = Version 2026-08-28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</si>
</sst>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\$#,##0.00"/>
    <numFmt numFmtId="165" formatCode="_(\$* #,##0.00_);_(\$* \(#,##0.00\);_(\$* \-??_);_(@_)"/>
    <numFmt numFmtId="166" formatCode="_(* #,##0.00_);_(* \(#,##0.00\);_(* \-??_);_(@_)"/>
    <numFmt numFmtId="167" formatCode="\-"/>
    <numFmt numFmtId="168" formatCode="_(* #,##0_);_(* \(#,##0\);_(* \-_);_(@_)"/>
    <numFmt numFmtId="169" formatCode="_(\$* #,##0_);_(\$* \(#,##0\);_(\$* \-??_);_(@_)"/>
    <numFmt numFmtId="170" formatCode="_-[$$-409]* #,##0.00_ ;_-[$$-409]* \-#,##0.00\ ;_-[$$-409]* \-??_ ;_-@_ "/>
    <numFmt numFmtId="171" formatCode="_(\$* #,##0_);_(\$* \(#,##0\);_(\$* \-_);_(@_)"/>
    <numFmt numFmtId="172" formatCode="0.0%"/>
    <numFmt numFmtId="173" formatCode="_(* #,##0_);_(* \(#,##0\);_(* \-??_);_(@_)"/>
    <numFmt numFmtId="174" formatCode="#,##0.00_);\(#,##0.00\);#,##0.00_);@_)"/>
    <numFmt numFmtId="175" formatCode="\$#,##0"/>
    <numFmt numFmtId="176" formatCode="yyyy\-mm\-dd;@"/>
    <numFmt numFmtId="177" formatCode="\$#,##0_);[Red]&quot;($&quot;#,##0\)"/>
    <numFmt numFmtId="178" formatCode="\$#,##0.00_);[Red]&quot;($&quot;#,##0.00\)"/>
  </numFmts>
  <fonts count="38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name val="Calibri"/>
      <family val="2"/>
      <charset val="1"/>
    </font>
    <font>
      <b/>
      <sz val="18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2"/>
      <color rgb="FF1B3A5C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4"/>
      <color theme="0"/>
      <name val="Calibri"/>
      <family val="2"/>
      <charset val="1"/>
    </font>
    <font>
      <sz val="24"/>
      <color theme="1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8"/>
      <color rgb="FF1B3A5C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rgb="FF3F3F3F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1"/>
      <color rgb="FF1B3A5C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9"/>
      <name val="Calibri"/>
      <family val="2"/>
      <charset val="1"/>
    </font>
    <font>
      <b/>
      <u/>
      <sz val="9"/>
      <name val="Calibri"/>
      <family val="2"/>
      <charset val="1"/>
    </font>
    <font>
      <b/>
      <u/>
      <sz val="10"/>
      <name val="Calibri"/>
      <family val="2"/>
      <charset val="1"/>
    </font>
    <font>
      <i/>
      <sz val="9"/>
      <name val="Calibri"/>
      <family val="2"/>
      <charset val="1"/>
    </font>
    <font>
      <sz val="9"/>
      <color rgb="FFFF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4" tint="-0.249977111117893"/>
        <bgColor rgb="FF4472C4"/>
      </patternFill>
    </fill>
    <fill>
      <patternFill patternType="solid">
        <fgColor theme="4" tint="0.79989013336588644"/>
        <bgColor rgb="FFD9E3EF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6" tint="0.59987182226020086"/>
        <bgColor rgb="FFD9E3EF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4" tint="0.59987182226020086"/>
        <bgColor rgb="FFBDD7EE"/>
      </patternFill>
    </fill>
    <fill>
      <patternFill patternType="solid">
        <fgColor rgb="FFC00000"/>
        <bgColor rgb="FFFF0000"/>
      </patternFill>
    </fill>
    <fill>
      <patternFill patternType="solid">
        <fgColor theme="4" tint="0.89989928891872917"/>
        <bgColor rgb="FFF2F2F2"/>
      </patternFill>
    </fill>
    <fill>
      <patternFill patternType="solid">
        <fgColor rgb="FFFFFF99"/>
        <bgColor rgb="FFFFEB9C"/>
      </patternFill>
    </fill>
    <fill>
      <patternFill patternType="solid">
        <fgColor rgb="FFF2F2F2"/>
        <bgColor rgb="FFECF1F9"/>
      </patternFill>
    </fill>
    <fill>
      <patternFill patternType="solid">
        <fgColor theme="2"/>
        <bgColor rgb="FFD9E3EF"/>
      </patternFill>
    </fill>
    <fill>
      <patternFill patternType="solid">
        <fgColor rgb="FFFFFF00"/>
        <bgColor rgb="FFFFFF99"/>
      </patternFill>
    </fill>
    <fill>
      <patternFill patternType="solid">
        <fgColor theme="4"/>
        <bgColor rgb="FF2F5597"/>
      </patternFill>
    </fill>
    <fill>
      <patternFill patternType="solid">
        <fgColor rgb="FFD9E3EF"/>
        <bgColor rgb="FFDAE3F3"/>
      </patternFill>
    </fill>
  </fills>
  <borders count="10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/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/>
      <bottom style="thin">
        <color theme="0" tint="-0.249977111117893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auto="1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/>
      <bottom style="thin">
        <color theme="0" tint="-0.249977111117893"/>
      </bottom>
      <diagonal/>
    </border>
    <border>
      <left style="hair">
        <color theme="1"/>
      </left>
      <right style="thin">
        <color theme="0" tint="-0.249977111117893"/>
      </right>
      <top style="thin">
        <color theme="0" tint="-0.249977111117893"/>
      </top>
      <bottom style="hair">
        <color theme="1"/>
      </bottom>
      <diagonal/>
    </border>
    <border>
      <left style="hair">
        <color theme="1"/>
      </left>
      <right style="thin">
        <color theme="0" tint="-0.249977111117893"/>
      </right>
      <top style="hair">
        <color theme="1"/>
      </top>
      <bottom style="hair">
        <color theme="1"/>
      </bottom>
      <diagonal/>
    </border>
    <border>
      <left style="thin">
        <color theme="0" tint="-0.249977111117893"/>
      </left>
      <right style="hair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1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auto="1"/>
      </bottom>
      <diagonal/>
    </border>
    <border>
      <left/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249977111117893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auto="1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77111117893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auto="1"/>
      </left>
      <right/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auto="1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77111117893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theme="0" tint="-0.249977111117893"/>
      </bottom>
      <diagonal/>
    </border>
    <border>
      <left/>
      <right/>
      <top/>
      <bottom style="thin">
        <color theme="5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hair">
        <color theme="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auto="1"/>
      </right>
      <top style="thin">
        <color theme="0" tint="-0.249977111117893"/>
      </top>
      <bottom/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4">
    <xf numFmtId="0" fontId="0" fillId="0" borderId="0" xfId="0"/>
    <xf numFmtId="0" fontId="9" fillId="9" borderId="1" xfId="0" applyFont="1" applyFill="1" applyBorder="1" applyAlignment="1" applyProtection="1">
      <alignment horizontal="center" wrapText="1"/>
      <protection locked="0"/>
    </xf>
    <xf numFmtId="49" fontId="9" fillId="9" borderId="1" xfId="0" applyNumberFormat="1" applyFont="1" applyFill="1" applyBorder="1" applyAlignment="1" applyProtection="1">
      <alignment horizontal="center" wrapText="1"/>
      <protection locked="0"/>
    </xf>
    <xf numFmtId="0" fontId="9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0" fillId="2" borderId="1" xfId="0" applyFill="1" applyBorder="1" applyProtection="1">
      <protection locked="0"/>
    </xf>
    <xf numFmtId="0" fontId="11" fillId="3" borderId="3" xfId="0" applyFont="1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wrapText="1"/>
      <protection locked="0"/>
    </xf>
    <xf numFmtId="0" fontId="9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4" fillId="2" borderId="0" xfId="0" applyFont="1" applyFill="1" applyAlignment="1">
      <alignment wrapText="1"/>
    </xf>
    <xf numFmtId="0" fontId="1" fillId="2" borderId="41" xfId="0" applyFont="1" applyFill="1" applyBorder="1" applyAlignment="1" applyProtection="1">
      <alignment wrapText="1"/>
      <protection locked="0"/>
    </xf>
    <xf numFmtId="0" fontId="1" fillId="0" borderId="41" xfId="0" applyFont="1" applyBorder="1" applyAlignment="1" applyProtection="1">
      <alignment wrapText="1"/>
      <protection locked="0"/>
    </xf>
    <xf numFmtId="0" fontId="22" fillId="2" borderId="41" xfId="0" applyFont="1" applyFill="1" applyBorder="1" applyAlignment="1" applyProtection="1">
      <alignment wrapText="1"/>
      <protection locked="0"/>
    </xf>
    <xf numFmtId="0" fontId="19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164" fontId="0" fillId="0" borderId="0" xfId="0" applyNumberFormat="1"/>
    <xf numFmtId="0" fontId="0" fillId="0" borderId="0" xfId="0" applyAlignment="1">
      <alignment horizontal="center"/>
    </xf>
    <xf numFmtId="0" fontId="7" fillId="2" borderId="0" xfId="0" applyFont="1" applyFill="1"/>
    <xf numFmtId="0" fontId="8" fillId="2" borderId="0" xfId="0" applyFont="1" applyFill="1"/>
    <xf numFmtId="164" fontId="8" fillId="2" borderId="0" xfId="0" applyNumberFormat="1" applyFont="1" applyFill="1"/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wrapText="1"/>
      <protection locked="0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right"/>
    </xf>
    <xf numFmtId="0" fontId="13" fillId="3" borderId="5" xfId="0" applyFont="1" applyFill="1" applyBorder="1"/>
    <xf numFmtId="164" fontId="13" fillId="3" borderId="6" xfId="0" applyNumberFormat="1" applyFont="1" applyFill="1" applyBorder="1"/>
    <xf numFmtId="0" fontId="13" fillId="3" borderId="7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5" xfId="0" applyFont="1" applyFill="1" applyBorder="1"/>
    <xf numFmtId="0" fontId="14" fillId="3" borderId="8" xfId="0" applyFont="1" applyFill="1" applyBorder="1"/>
    <xf numFmtId="0" fontId="15" fillId="2" borderId="0" xfId="0" applyFont="1" applyFill="1"/>
    <xf numFmtId="0" fontId="6" fillId="0" borderId="9" xfId="0" applyFont="1" applyBorder="1" applyProtection="1">
      <protection locked="0"/>
    </xf>
    <xf numFmtId="0" fontId="0" fillId="0" borderId="9" xfId="0" applyBorder="1" applyAlignment="1" applyProtection="1">
      <alignment horizontal="left"/>
      <protection locked="0"/>
    </xf>
    <xf numFmtId="165" fontId="0" fillId="0" borderId="9" xfId="0" applyNumberFormat="1" applyBorder="1" applyProtection="1">
      <protection locked="0"/>
    </xf>
    <xf numFmtId="166" fontId="0" fillId="4" borderId="10" xfId="0" applyNumberFormat="1" applyFill="1" applyBorder="1" applyAlignment="1" applyProtection="1">
      <alignment horizontal="center" vertical="center"/>
      <protection locked="0"/>
    </xf>
    <xf numFmtId="165" fontId="8" fillId="0" borderId="11" xfId="0" applyNumberFormat="1" applyFont="1" applyBorder="1"/>
    <xf numFmtId="165" fontId="8" fillId="0" borderId="12" xfId="0" applyNumberFormat="1" applyFont="1" applyBorder="1"/>
    <xf numFmtId="0" fontId="16" fillId="0" borderId="9" xfId="0" applyFont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0" borderId="2" xfId="0" applyBorder="1" applyProtection="1">
      <protection locked="0"/>
    </xf>
    <xf numFmtId="0" fontId="0" fillId="0" borderId="13" xfId="0" applyBorder="1" applyProtection="1">
      <protection locked="0"/>
    </xf>
    <xf numFmtId="165" fontId="8" fillId="0" borderId="9" xfId="0" applyNumberFormat="1" applyFont="1" applyBorder="1"/>
    <xf numFmtId="165" fontId="8" fillId="0" borderId="14" xfId="0" applyNumberFormat="1" applyFont="1" applyBorder="1"/>
    <xf numFmtId="0" fontId="13" fillId="3" borderId="10" xfId="0" applyFont="1" applyFill="1" applyBorder="1" applyAlignment="1" applyProtection="1">
      <alignment horizontal="right"/>
      <protection locked="0"/>
    </xf>
    <xf numFmtId="0" fontId="17" fillId="3" borderId="9" xfId="0" applyFont="1" applyFill="1" applyBorder="1" applyAlignment="1" applyProtection="1">
      <alignment horizontal="left"/>
      <protection locked="0"/>
    </xf>
    <xf numFmtId="164" fontId="17" fillId="3" borderId="9" xfId="0" applyNumberFormat="1" applyFont="1" applyFill="1" applyBorder="1"/>
    <xf numFmtId="0" fontId="17" fillId="3" borderId="15" xfId="0" applyFont="1" applyFill="1" applyBorder="1" applyAlignment="1" applyProtection="1">
      <alignment horizontal="center"/>
      <protection locked="0"/>
    </xf>
    <xf numFmtId="165" fontId="17" fillId="3" borderId="16" xfId="0" applyNumberFormat="1" applyFont="1" applyFill="1" applyBorder="1"/>
    <xf numFmtId="0" fontId="17" fillId="3" borderId="16" xfId="0" applyFont="1" applyFill="1" applyBorder="1"/>
    <xf numFmtId="0" fontId="17" fillId="3" borderId="17" xfId="0" applyFont="1" applyFill="1" applyBorder="1"/>
    <xf numFmtId="0" fontId="0" fillId="2" borderId="0" xfId="0" applyFill="1" applyProtection="1">
      <protection locked="0"/>
    </xf>
    <xf numFmtId="0" fontId="0" fillId="0" borderId="9" xfId="0" applyBorder="1" applyProtection="1">
      <protection locked="0"/>
    </xf>
    <xf numFmtId="0" fontId="17" fillId="3" borderId="9" xfId="0" applyFont="1" applyFill="1" applyBorder="1" applyProtection="1">
      <protection locked="0"/>
    </xf>
    <xf numFmtId="0" fontId="17" fillId="3" borderId="9" xfId="0" applyFont="1" applyFill="1" applyBorder="1"/>
    <xf numFmtId="0" fontId="17" fillId="3" borderId="14" xfId="0" applyFont="1" applyFill="1" applyBorder="1"/>
    <xf numFmtId="0" fontId="0" fillId="0" borderId="10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15" fillId="0" borderId="0" xfId="0" applyFont="1"/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165" fontId="0" fillId="0" borderId="21" xfId="0" applyNumberFormat="1" applyBorder="1" applyProtection="1">
      <protection locked="0"/>
    </xf>
    <xf numFmtId="166" fontId="0" fillId="4" borderId="20" xfId="0" applyNumberFormat="1" applyFill="1" applyBorder="1" applyAlignment="1" applyProtection="1">
      <alignment horizontal="center" vertical="center"/>
      <protection locked="0"/>
    </xf>
    <xf numFmtId="165" fontId="8" fillId="0" borderId="21" xfId="0" applyNumberFormat="1" applyFont="1" applyBorder="1"/>
    <xf numFmtId="165" fontId="8" fillId="0" borderId="22" xfId="0" applyNumberFormat="1" applyFont="1" applyBorder="1"/>
    <xf numFmtId="164" fontId="0" fillId="2" borderId="0" xfId="0" applyNumberFormat="1" applyFill="1" applyProtection="1">
      <protection locked="0"/>
    </xf>
    <xf numFmtId="164" fontId="0" fillId="2" borderId="0" xfId="0" applyNumberFormat="1" applyFill="1"/>
    <xf numFmtId="0" fontId="9" fillId="9" borderId="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8" fillId="2" borderId="0" xfId="0" applyFont="1" applyFill="1"/>
    <xf numFmtId="0" fontId="9" fillId="9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0" fontId="13" fillId="9" borderId="23" xfId="0" applyFont="1" applyFill="1" applyBorder="1" applyAlignment="1">
      <alignment horizontal="right"/>
    </xf>
    <xf numFmtId="0" fontId="17" fillId="9" borderId="5" xfId="0" applyFont="1" applyFill="1" applyBorder="1"/>
    <xf numFmtId="164" fontId="17" fillId="9" borderId="5" xfId="0" applyNumberFormat="1" applyFont="1" applyFill="1" applyBorder="1"/>
    <xf numFmtId="0" fontId="17" fillId="9" borderId="24" xfId="0" applyFont="1" applyFill="1" applyBorder="1"/>
    <xf numFmtId="0" fontId="17" fillId="9" borderId="23" xfId="0" applyFont="1" applyFill="1" applyBorder="1" applyAlignment="1">
      <alignment horizontal="center"/>
    </xf>
    <xf numFmtId="0" fontId="17" fillId="9" borderId="25" xfId="0" applyFont="1" applyFill="1" applyBorder="1"/>
    <xf numFmtId="0" fontId="17" fillId="9" borderId="7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9" borderId="5" xfId="0" applyFont="1" applyFill="1" applyBorder="1"/>
    <xf numFmtId="0" fontId="8" fillId="9" borderId="25" xfId="0" applyFont="1" applyFill="1" applyBorder="1"/>
    <xf numFmtId="165" fontId="0" fillId="0" borderId="26" xfId="0" applyNumberFormat="1" applyBorder="1" applyProtection="1">
      <protection locked="0"/>
    </xf>
    <xf numFmtId="9" fontId="0" fillId="0" borderId="27" xfId="0" applyNumberFormat="1" applyBorder="1" applyAlignment="1" applyProtection="1">
      <alignment horizontal="center" vertical="center"/>
      <protection locked="0"/>
    </xf>
    <xf numFmtId="165" fontId="8" fillId="2" borderId="26" xfId="0" applyNumberFormat="1" applyFont="1" applyFill="1" applyBorder="1"/>
    <xf numFmtId="165" fontId="8" fillId="0" borderId="28" xfId="0" applyNumberFormat="1" applyFont="1" applyBorder="1"/>
    <xf numFmtId="165" fontId="8" fillId="0" borderId="29" xfId="0" applyNumberFormat="1" applyFont="1" applyBorder="1"/>
    <xf numFmtId="9" fontId="0" fillId="0" borderId="30" xfId="0" applyNumberFormat="1" applyBorder="1" applyAlignment="1" applyProtection="1">
      <alignment horizontal="center" vertical="center"/>
      <protection locked="0"/>
    </xf>
    <xf numFmtId="9" fontId="0" fillId="0" borderId="31" xfId="0" applyNumberFormat="1" applyBorder="1" applyAlignment="1" applyProtection="1">
      <alignment horizontal="center" vertical="center"/>
      <protection locked="0"/>
    </xf>
    <xf numFmtId="165" fontId="0" fillId="0" borderId="32" xfId="0" applyNumberFormat="1" applyBorder="1" applyProtection="1">
      <protection locked="0"/>
    </xf>
    <xf numFmtId="9" fontId="0" fillId="0" borderId="33" xfId="0" applyNumberFormat="1" applyBorder="1" applyAlignment="1" applyProtection="1">
      <alignment horizontal="center" vertical="center"/>
      <protection locked="0"/>
    </xf>
    <xf numFmtId="165" fontId="0" fillId="0" borderId="19" xfId="0" applyNumberFormat="1" applyBorder="1" applyProtection="1">
      <protection locked="0"/>
    </xf>
    <xf numFmtId="9" fontId="0" fillId="0" borderId="9" xfId="0" applyNumberFormat="1" applyBorder="1" applyAlignment="1" applyProtection="1">
      <alignment horizontal="center"/>
      <protection locked="0"/>
    </xf>
    <xf numFmtId="0" fontId="13" fillId="9" borderId="10" xfId="0" applyFont="1" applyFill="1" applyBorder="1" applyAlignment="1" applyProtection="1">
      <alignment horizontal="right"/>
      <protection locked="0"/>
    </xf>
    <xf numFmtId="0" fontId="17" fillId="9" borderId="9" xfId="0" applyFont="1" applyFill="1" applyBorder="1" applyProtection="1">
      <protection locked="0"/>
    </xf>
    <xf numFmtId="164" fontId="17" fillId="9" borderId="9" xfId="0" applyNumberFormat="1" applyFont="1" applyFill="1" applyBorder="1" applyProtection="1">
      <protection locked="0"/>
    </xf>
    <xf numFmtId="9" fontId="17" fillId="9" borderId="9" xfId="0" applyNumberFormat="1" applyFont="1" applyFill="1" applyBorder="1" applyAlignment="1" applyProtection="1">
      <alignment horizontal="center"/>
      <protection locked="0"/>
    </xf>
    <xf numFmtId="0" fontId="17" fillId="9" borderId="26" xfId="0" applyFont="1" applyFill="1" applyBorder="1"/>
    <xf numFmtId="0" fontId="17" fillId="9" borderId="10" xfId="0" applyFont="1" applyFill="1" applyBorder="1" applyAlignment="1" applyProtection="1">
      <alignment horizontal="center"/>
      <protection locked="0"/>
    </xf>
    <xf numFmtId="0" fontId="17" fillId="9" borderId="9" xfId="0" applyFont="1" applyFill="1" applyBorder="1"/>
    <xf numFmtId="0" fontId="17" fillId="9" borderId="28" xfId="0" applyFont="1" applyFill="1" applyBorder="1"/>
    <xf numFmtId="0" fontId="17" fillId="9" borderId="16" xfId="0" applyFont="1" applyFill="1" applyBorder="1"/>
    <xf numFmtId="0" fontId="17" fillId="9" borderId="34" xfId="0" applyFont="1" applyFill="1" applyBorder="1"/>
    <xf numFmtId="0" fontId="17" fillId="9" borderId="15" xfId="0" applyFont="1" applyFill="1" applyBorder="1" applyAlignment="1" applyProtection="1">
      <alignment horizontal="center"/>
      <protection locked="0"/>
    </xf>
    <xf numFmtId="9" fontId="0" fillId="0" borderId="35" xfId="0" applyNumberFormat="1" applyBorder="1" applyAlignment="1" applyProtection="1">
      <alignment horizontal="center" vertical="center"/>
      <protection locked="0"/>
    </xf>
    <xf numFmtId="0" fontId="15" fillId="2" borderId="0" xfId="0" applyFont="1" applyFill="1" applyProtection="1">
      <protection locked="0"/>
    </xf>
    <xf numFmtId="165" fontId="0" fillId="0" borderId="36" xfId="0" applyNumberFormat="1" applyBorder="1" applyProtection="1">
      <protection locked="0"/>
    </xf>
    <xf numFmtId="9" fontId="0" fillId="0" borderId="37" xfId="0" applyNumberFormat="1" applyBorder="1" applyAlignment="1" applyProtection="1">
      <alignment horizontal="center" vertical="center"/>
      <protection locked="0"/>
    </xf>
    <xf numFmtId="165" fontId="8" fillId="2" borderId="38" xfId="0" applyNumberFormat="1" applyFont="1" applyFill="1" applyBorder="1"/>
    <xf numFmtId="165" fontId="8" fillId="0" borderId="39" xfId="0" applyNumberFormat="1" applyFont="1" applyBorder="1"/>
    <xf numFmtId="0" fontId="19" fillId="0" borderId="0" xfId="0" applyFont="1" applyAlignment="1">
      <alignment wrapText="1"/>
    </xf>
    <xf numFmtId="0" fontId="20" fillId="2" borderId="0" xfId="0" applyFont="1" applyFill="1"/>
    <xf numFmtId="0" fontId="21" fillId="3" borderId="1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20" fillId="0" borderId="0" xfId="0" applyFont="1"/>
    <xf numFmtId="0" fontId="1" fillId="2" borderId="0" xfId="0" applyFont="1" applyFill="1"/>
    <xf numFmtId="0" fontId="20" fillId="10" borderId="4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1" fillId="10" borderId="15" xfId="0" applyFont="1" applyFill="1" applyBorder="1" applyAlignment="1">
      <alignment horizontal="center" vertical="center"/>
    </xf>
    <xf numFmtId="167" fontId="8" fillId="2" borderId="9" xfId="0" applyNumberFormat="1" applyFont="1" applyFill="1" applyBorder="1" applyAlignment="1">
      <alignment horizontal="center" wrapText="1"/>
    </xf>
    <xf numFmtId="167" fontId="8" fillId="2" borderId="14" xfId="0" applyNumberFormat="1" applyFont="1" applyFill="1" applyBorder="1" applyAlignment="1">
      <alignment horizontal="center" wrapText="1"/>
    </xf>
    <xf numFmtId="0" fontId="1" fillId="0" borderId="0" xfId="0" applyFont="1"/>
    <xf numFmtId="168" fontId="1" fillId="4" borderId="9" xfId="0" applyNumberFormat="1" applyFont="1" applyFill="1" applyBorder="1" applyAlignment="1" applyProtection="1">
      <alignment horizontal="center"/>
      <protection locked="0"/>
    </xf>
    <xf numFmtId="168" fontId="1" fillId="4" borderId="14" xfId="0" applyNumberFormat="1" applyFont="1" applyFill="1" applyBorder="1" applyAlignment="1" applyProtection="1">
      <alignment horizontal="center"/>
      <protection locked="0"/>
    </xf>
    <xf numFmtId="169" fontId="1" fillId="4" borderId="9" xfId="0" applyNumberFormat="1" applyFont="1" applyFill="1" applyBorder="1" applyAlignment="1" applyProtection="1">
      <alignment horizontal="right"/>
      <protection locked="0"/>
    </xf>
    <xf numFmtId="169" fontId="1" fillId="4" borderId="14" xfId="0" applyNumberFormat="1" applyFont="1" applyFill="1" applyBorder="1" applyAlignment="1" applyProtection="1">
      <alignment horizontal="right"/>
      <protection locked="0"/>
    </xf>
    <xf numFmtId="0" fontId="20" fillId="10" borderId="42" xfId="0" applyFont="1" applyFill="1" applyBorder="1" applyAlignment="1">
      <alignment horizontal="right"/>
    </xf>
    <xf numFmtId="0" fontId="1" fillId="10" borderId="43" xfId="0" applyFont="1" applyFill="1" applyBorder="1" applyAlignment="1">
      <alignment horizontal="center"/>
    </xf>
    <xf numFmtId="0" fontId="22" fillId="10" borderId="21" xfId="0" applyFont="1" applyFill="1" applyBorder="1" applyAlignment="1">
      <alignment horizontal="center"/>
    </xf>
    <xf numFmtId="0" fontId="1" fillId="10" borderId="21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170" fontId="21" fillId="3" borderId="45" xfId="0" applyNumberFormat="1" applyFont="1" applyFill="1" applyBorder="1" applyAlignment="1">
      <alignment horizontal="center"/>
    </xf>
    <xf numFmtId="0" fontId="9" fillId="3" borderId="46" xfId="0" applyFont="1" applyFill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9" fillId="3" borderId="49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70" fontId="9" fillId="3" borderId="45" xfId="0" applyNumberFormat="1" applyFont="1" applyFill="1" applyBorder="1" applyAlignment="1">
      <alignment horizontal="right"/>
    </xf>
    <xf numFmtId="170" fontId="9" fillId="2" borderId="0" xfId="0" applyNumberFormat="1" applyFont="1" applyFill="1" applyAlignment="1">
      <alignment horizontal="right"/>
    </xf>
    <xf numFmtId="165" fontId="9" fillId="3" borderId="50" xfId="0" applyNumberFormat="1" applyFont="1" applyFill="1" applyBorder="1"/>
    <xf numFmtId="165" fontId="9" fillId="3" borderId="51" xfId="0" applyNumberFormat="1" applyFont="1" applyFill="1" applyBorder="1"/>
    <xf numFmtId="165" fontId="9" fillId="3" borderId="52" xfId="0" applyNumberFormat="1" applyFont="1" applyFill="1" applyBorder="1"/>
    <xf numFmtId="165" fontId="9" fillId="3" borderId="53" xfId="0" applyNumberFormat="1" applyFont="1" applyFill="1" applyBorder="1"/>
    <xf numFmtId="165" fontId="9" fillId="3" borderId="28" xfId="0" applyNumberFormat="1" applyFont="1" applyFill="1" applyBorder="1"/>
    <xf numFmtId="0" fontId="23" fillId="10" borderId="40" xfId="0" applyFont="1" applyFill="1" applyBorder="1" applyAlignment="1" applyProtection="1">
      <alignment horizontal="right"/>
      <protection locked="0"/>
    </xf>
    <xf numFmtId="0" fontId="23" fillId="2" borderId="0" xfId="0" applyFont="1" applyFill="1" applyAlignment="1">
      <alignment horizontal="right"/>
    </xf>
    <xf numFmtId="171" fontId="24" fillId="2" borderId="10" xfId="0" applyNumberFormat="1" applyFont="1" applyFill="1" applyBorder="1"/>
    <xf numFmtId="171" fontId="24" fillId="2" borderId="9" xfId="0" applyNumberFormat="1" applyFont="1" applyFill="1" applyBorder="1"/>
    <xf numFmtId="171" fontId="24" fillId="2" borderId="14" xfId="0" applyNumberFormat="1" applyFont="1" applyFill="1" applyBorder="1"/>
    <xf numFmtId="0" fontId="22" fillId="2" borderId="0" xfId="0" applyFont="1" applyFill="1"/>
    <xf numFmtId="171" fontId="9" fillId="3" borderId="10" xfId="0" applyNumberFormat="1" applyFont="1" applyFill="1" applyBorder="1" applyAlignment="1">
      <alignment horizontal="right"/>
    </xf>
    <xf numFmtId="171" fontId="9" fillId="3" borderId="9" xfId="0" applyNumberFormat="1" applyFont="1" applyFill="1" applyBorder="1" applyAlignment="1">
      <alignment horizontal="right"/>
    </xf>
    <xf numFmtId="171" fontId="9" fillId="3" borderId="14" xfId="0" applyNumberFormat="1" applyFont="1" applyFill="1" applyBorder="1" applyAlignment="1">
      <alignment horizontal="right"/>
    </xf>
    <xf numFmtId="0" fontId="23" fillId="10" borderId="42" xfId="0" applyFont="1" applyFill="1" applyBorder="1" applyAlignment="1" applyProtection="1">
      <alignment horizontal="right"/>
      <protection locked="0"/>
    </xf>
    <xf numFmtId="171" fontId="24" fillId="2" borderId="20" xfId="0" applyNumberFormat="1" applyFont="1" applyFill="1" applyBorder="1"/>
    <xf numFmtId="171" fontId="24" fillId="2" borderId="21" xfId="0" applyNumberFormat="1" applyFont="1" applyFill="1" applyBorder="1"/>
    <xf numFmtId="171" fontId="24" fillId="2" borderId="22" xfId="0" applyNumberFormat="1" applyFont="1" applyFill="1" applyBorder="1"/>
    <xf numFmtId="0" fontId="23" fillId="10" borderId="0" xfId="0" applyFont="1" applyFill="1" applyAlignment="1" applyProtection="1">
      <alignment horizontal="right"/>
      <protection locked="0"/>
    </xf>
    <xf numFmtId="171" fontId="24" fillId="2" borderId="0" xfId="0" applyNumberFormat="1" applyFont="1" applyFill="1"/>
    <xf numFmtId="170" fontId="9" fillId="3" borderId="1" xfId="0" applyNumberFormat="1" applyFont="1" applyFill="1" applyBorder="1" applyAlignment="1">
      <alignment horizontal="right" wrapText="1"/>
    </xf>
    <xf numFmtId="170" fontId="9" fillId="3" borderId="54" xfId="0" applyNumberFormat="1" applyFont="1" applyFill="1" applyBorder="1" applyAlignment="1">
      <alignment horizontal="center"/>
    </xf>
    <xf numFmtId="1" fontId="9" fillId="3" borderId="55" xfId="0" applyNumberFormat="1" applyFont="1" applyFill="1" applyBorder="1" applyAlignment="1">
      <alignment horizontal="center"/>
    </xf>
    <xf numFmtId="1" fontId="9" fillId="3" borderId="56" xfId="0" applyNumberFormat="1" applyFont="1" applyFill="1" applyBorder="1" applyAlignment="1">
      <alignment horizontal="center"/>
    </xf>
    <xf numFmtId="0" fontId="1" fillId="2" borderId="50" xfId="0" applyFont="1" applyFill="1" applyBorder="1"/>
    <xf numFmtId="0" fontId="23" fillId="10" borderId="40" xfId="0" applyFont="1" applyFill="1" applyBorder="1" applyAlignment="1">
      <alignment horizontal="right"/>
    </xf>
    <xf numFmtId="9" fontId="24" fillId="4" borderId="57" xfId="0" applyNumberFormat="1" applyFont="1" applyFill="1" applyBorder="1" applyAlignment="1">
      <alignment horizontal="center"/>
    </xf>
    <xf numFmtId="9" fontId="1" fillId="4" borderId="58" xfId="0" applyNumberFormat="1" applyFont="1" applyFill="1" applyBorder="1" applyAlignment="1" applyProtection="1">
      <alignment horizontal="center"/>
      <protection locked="0"/>
    </xf>
    <xf numFmtId="9" fontId="1" fillId="4" borderId="59" xfId="0" applyNumberFormat="1" applyFont="1" applyFill="1" applyBorder="1" applyAlignment="1" applyProtection="1">
      <alignment horizontal="center"/>
      <protection locked="0"/>
    </xf>
    <xf numFmtId="9" fontId="1" fillId="4" borderId="60" xfId="0" applyNumberFormat="1" applyFont="1" applyFill="1" applyBorder="1" applyAlignment="1" applyProtection="1">
      <alignment horizontal="center"/>
      <protection locked="0"/>
    </xf>
    <xf numFmtId="0" fontId="23" fillId="10" borderId="42" xfId="0" applyFont="1" applyFill="1" applyBorder="1" applyAlignment="1">
      <alignment horizontal="right"/>
    </xf>
    <xf numFmtId="0" fontId="1" fillId="2" borderId="40" xfId="0" applyFont="1" applyFill="1" applyBorder="1"/>
    <xf numFmtId="171" fontId="24" fillId="2" borderId="61" xfId="0" applyNumberFormat="1" applyFont="1" applyFill="1" applyBorder="1" applyAlignment="1">
      <alignment horizontal="center"/>
    </xf>
    <xf numFmtId="171" fontId="24" fillId="2" borderId="62" xfId="0" applyNumberFormat="1" applyFont="1" applyFill="1" applyBorder="1" applyAlignment="1">
      <alignment horizontal="center"/>
    </xf>
    <xf numFmtId="171" fontId="24" fillId="2" borderId="55" xfId="0" applyNumberFormat="1" applyFont="1" applyFill="1" applyBorder="1" applyAlignment="1">
      <alignment horizontal="center"/>
    </xf>
    <xf numFmtId="171" fontId="24" fillId="2" borderId="63" xfId="0" applyNumberFormat="1" applyFont="1" applyFill="1" applyBorder="1" applyAlignment="1">
      <alignment horizontal="center"/>
    </xf>
    <xf numFmtId="170" fontId="9" fillId="3" borderId="1" xfId="0" applyNumberFormat="1" applyFont="1" applyFill="1" applyBorder="1" applyAlignment="1">
      <alignment horizontal="right"/>
    </xf>
    <xf numFmtId="171" fontId="24" fillId="2" borderId="64" xfId="0" applyNumberFormat="1" applyFont="1" applyFill="1" applyBorder="1"/>
    <xf numFmtId="171" fontId="24" fillId="2" borderId="11" xfId="0" applyNumberFormat="1" applyFont="1" applyFill="1" applyBorder="1"/>
    <xf numFmtId="9" fontId="24" fillId="2" borderId="10" xfId="0" applyNumberFormat="1" applyFont="1" applyFill="1" applyBorder="1" applyAlignment="1">
      <alignment horizontal="center"/>
    </xf>
    <xf numFmtId="9" fontId="24" fillId="2" borderId="9" xfId="0" applyNumberFormat="1" applyFont="1" applyFill="1" applyBorder="1" applyAlignment="1">
      <alignment horizontal="center"/>
    </xf>
    <xf numFmtId="9" fontId="24" fillId="2" borderId="14" xfId="0" applyNumberFormat="1" applyFont="1" applyFill="1" applyBorder="1" applyAlignment="1">
      <alignment horizontal="center"/>
    </xf>
    <xf numFmtId="165" fontId="24" fillId="2" borderId="10" xfId="0" applyNumberFormat="1" applyFont="1" applyFill="1" applyBorder="1"/>
    <xf numFmtId="165" fontId="24" fillId="2" borderId="9" xfId="0" applyNumberFormat="1" applyFont="1" applyFill="1" applyBorder="1"/>
    <xf numFmtId="172" fontId="24" fillId="2" borderId="9" xfId="0" applyNumberFormat="1" applyFont="1" applyFill="1" applyBorder="1" applyAlignment="1">
      <alignment horizontal="center"/>
    </xf>
    <xf numFmtId="2" fontId="24" fillId="2" borderId="65" xfId="0" applyNumberFormat="1" applyFont="1" applyFill="1" applyBorder="1" applyAlignment="1">
      <alignment horizontal="center"/>
    </xf>
    <xf numFmtId="2" fontId="24" fillId="2" borderId="66" xfId="0" applyNumberFormat="1" applyFont="1" applyFill="1" applyBorder="1" applyAlignment="1">
      <alignment horizontal="center"/>
    </xf>
    <xf numFmtId="2" fontId="24" fillId="2" borderId="67" xfId="0" applyNumberFormat="1" applyFont="1" applyFill="1" applyBorder="1" applyAlignment="1">
      <alignment horizontal="center"/>
    </xf>
    <xf numFmtId="170" fontId="21" fillId="9" borderId="1" xfId="0" applyNumberFormat="1" applyFont="1" applyFill="1" applyBorder="1" applyAlignment="1">
      <alignment horizontal="center"/>
    </xf>
    <xf numFmtId="0" fontId="9" fillId="9" borderId="23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49" fontId="8" fillId="2" borderId="9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171" fontId="1" fillId="4" borderId="9" xfId="0" applyNumberFormat="1" applyFont="1" applyFill="1" applyBorder="1" applyAlignment="1">
      <alignment horizontal="center"/>
    </xf>
    <xf numFmtId="171" fontId="1" fillId="4" borderId="14" xfId="0" applyNumberFormat="1" applyFont="1" applyFill="1" applyBorder="1" applyAlignment="1">
      <alignment horizontal="center"/>
    </xf>
    <xf numFmtId="0" fontId="20" fillId="10" borderId="42" xfId="0" applyFont="1" applyFill="1" applyBorder="1" applyAlignment="1">
      <alignment horizontal="right" vertical="center"/>
    </xf>
    <xf numFmtId="0" fontId="1" fillId="10" borderId="62" xfId="0" applyFont="1" applyFill="1" applyBorder="1" applyAlignment="1">
      <alignment horizontal="center"/>
    </xf>
    <xf numFmtId="0" fontId="1" fillId="10" borderId="68" xfId="0" applyFont="1" applyFill="1" applyBorder="1" applyAlignment="1">
      <alignment horizontal="center"/>
    </xf>
    <xf numFmtId="0" fontId="9" fillId="9" borderId="69" xfId="0" applyFont="1" applyFill="1" applyBorder="1" applyAlignment="1">
      <alignment horizontal="center"/>
    </xf>
    <xf numFmtId="0" fontId="9" fillId="9" borderId="70" xfId="0" applyFont="1" applyFill="1" applyBorder="1" applyAlignment="1">
      <alignment horizontal="center"/>
    </xf>
    <xf numFmtId="0" fontId="9" fillId="9" borderId="71" xfId="0" applyFont="1" applyFill="1" applyBorder="1" applyAlignment="1">
      <alignment horizontal="center"/>
    </xf>
    <xf numFmtId="0" fontId="9" fillId="9" borderId="72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170" fontId="9" fillId="9" borderId="40" xfId="0" applyNumberFormat="1" applyFont="1" applyFill="1" applyBorder="1" applyAlignment="1">
      <alignment horizontal="right"/>
    </xf>
    <xf numFmtId="169" fontId="9" fillId="9" borderId="50" xfId="0" applyNumberFormat="1" applyFont="1" applyFill="1" applyBorder="1"/>
    <xf numFmtId="169" fontId="9" fillId="9" borderId="73" xfId="0" applyNumberFormat="1" applyFont="1" applyFill="1" applyBorder="1"/>
    <xf numFmtId="169" fontId="9" fillId="9" borderId="74" xfId="0" applyNumberFormat="1" applyFont="1" applyFill="1" applyBorder="1"/>
    <xf numFmtId="169" fontId="9" fillId="9" borderId="75" xfId="0" applyNumberFormat="1" applyFont="1" applyFill="1" applyBorder="1"/>
    <xf numFmtId="169" fontId="9" fillId="9" borderId="29" xfId="0" applyNumberFormat="1" applyFont="1" applyFill="1" applyBorder="1"/>
    <xf numFmtId="170" fontId="9" fillId="9" borderId="45" xfId="0" applyNumberFormat="1" applyFont="1" applyFill="1" applyBorder="1" applyAlignment="1">
      <alignment horizontal="right"/>
    </xf>
    <xf numFmtId="171" fontId="9" fillId="9" borderId="10" xfId="0" applyNumberFormat="1" applyFont="1" applyFill="1" applyBorder="1" applyAlignment="1">
      <alignment horizontal="right"/>
    </xf>
    <xf numFmtId="171" fontId="9" fillId="9" borderId="9" xfId="0" applyNumberFormat="1" applyFont="1" applyFill="1" applyBorder="1" applyAlignment="1">
      <alignment horizontal="right"/>
    </xf>
    <xf numFmtId="171" fontId="9" fillId="9" borderId="14" xfId="0" applyNumberFormat="1" applyFont="1" applyFill="1" applyBorder="1" applyAlignment="1">
      <alignment horizontal="right"/>
    </xf>
    <xf numFmtId="0" fontId="1" fillId="2" borderId="44" xfId="0" applyFont="1" applyFill="1" applyBorder="1"/>
    <xf numFmtId="170" fontId="9" fillId="9" borderId="1" xfId="0" applyNumberFormat="1" applyFont="1" applyFill="1" applyBorder="1" applyAlignment="1">
      <alignment horizontal="right"/>
    </xf>
    <xf numFmtId="170" fontId="9" fillId="9" borderId="76" xfId="0" applyNumberFormat="1" applyFont="1" applyFill="1" applyBorder="1" applyAlignment="1">
      <alignment horizontal="center"/>
    </xf>
    <xf numFmtId="1" fontId="9" fillId="9" borderId="5" xfId="0" applyNumberFormat="1" applyFont="1" applyFill="1" applyBorder="1" applyAlignment="1">
      <alignment horizontal="center"/>
    </xf>
    <xf numFmtId="1" fontId="9" fillId="9" borderId="25" xfId="0" applyNumberFormat="1" applyFont="1" applyFill="1" applyBorder="1" applyAlignment="1">
      <alignment horizontal="center"/>
    </xf>
    <xf numFmtId="9" fontId="24" fillId="2" borderId="64" xfId="0" applyNumberFormat="1" applyFont="1" applyFill="1" applyBorder="1" applyAlignment="1">
      <alignment horizontal="center"/>
    </xf>
    <xf numFmtId="9" fontId="1" fillId="4" borderId="11" xfId="0" applyNumberFormat="1" applyFont="1" applyFill="1" applyBorder="1" applyAlignment="1" applyProtection="1">
      <alignment horizontal="center"/>
      <protection locked="0"/>
    </xf>
    <xf numFmtId="9" fontId="1" fillId="4" borderId="14" xfId="0" applyNumberFormat="1" applyFont="1" applyFill="1" applyBorder="1" applyAlignment="1" applyProtection="1">
      <alignment horizontal="center"/>
      <protection locked="0"/>
    </xf>
    <xf numFmtId="171" fontId="24" fillId="2" borderId="20" xfId="0" applyNumberFormat="1" applyFont="1" applyFill="1" applyBorder="1" applyAlignment="1">
      <alignment horizontal="center"/>
    </xf>
    <xf numFmtId="171" fontId="24" fillId="2" borderId="21" xfId="0" applyNumberFormat="1" applyFont="1" applyFill="1" applyBorder="1" applyAlignment="1">
      <alignment horizontal="center"/>
    </xf>
    <xf numFmtId="171" fontId="24" fillId="2" borderId="22" xfId="0" applyNumberFormat="1" applyFont="1" applyFill="1" applyBorder="1" applyAlignment="1">
      <alignment horizontal="center"/>
    </xf>
    <xf numFmtId="171" fontId="24" fillId="2" borderId="12" xfId="0" applyNumberFormat="1" applyFont="1" applyFill="1" applyBorder="1"/>
    <xf numFmtId="9" fontId="24" fillId="2" borderId="20" xfId="0" applyNumberFormat="1" applyFont="1" applyFill="1" applyBorder="1" applyAlignment="1">
      <alignment horizontal="center"/>
    </xf>
    <xf numFmtId="9" fontId="24" fillId="2" borderId="21" xfId="0" applyNumberFormat="1" applyFont="1" applyFill="1" applyBorder="1" applyAlignment="1">
      <alignment horizontal="center"/>
    </xf>
    <xf numFmtId="9" fontId="24" fillId="2" borderId="22" xfId="0" applyNumberFormat="1" applyFont="1" applyFill="1" applyBorder="1" applyAlignment="1">
      <alignment horizontal="center"/>
    </xf>
    <xf numFmtId="0" fontId="12" fillId="0" borderId="77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173" fontId="0" fillId="11" borderId="78" xfId="0" applyNumberFormat="1" applyFill="1" applyBorder="1" applyAlignment="1">
      <alignment vertical="center"/>
    </xf>
    <xf numFmtId="0" fontId="4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73" fontId="0" fillId="0" borderId="0" xfId="0" applyNumberFormat="1" applyAlignment="1">
      <alignment vertical="center"/>
    </xf>
    <xf numFmtId="173" fontId="26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173" fontId="4" fillId="0" borderId="2" xfId="0" applyNumberFormat="1" applyFont="1" applyBorder="1" applyAlignment="1">
      <alignment vertical="center"/>
    </xf>
    <xf numFmtId="166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vertical="center"/>
    </xf>
    <xf numFmtId="166" fontId="27" fillId="12" borderId="79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74" fontId="0" fillId="0" borderId="78" xfId="0" applyNumberFormat="1" applyBorder="1" applyAlignment="1">
      <alignment vertical="center"/>
    </xf>
    <xf numFmtId="0" fontId="4" fillId="13" borderId="0" xfId="0" applyFont="1" applyFill="1" applyAlignment="1">
      <alignment vertical="center"/>
    </xf>
    <xf numFmtId="166" fontId="27" fillId="11" borderId="79" xfId="0" applyNumberFormat="1" applyFont="1" applyFill="1" applyBorder="1" applyAlignment="1">
      <alignment vertical="center"/>
    </xf>
    <xf numFmtId="0" fontId="0" fillId="4" borderId="0" xfId="0" applyFill="1"/>
    <xf numFmtId="0" fontId="12" fillId="4" borderId="77" xfId="0" applyFont="1" applyFill="1" applyBorder="1" applyAlignment="1">
      <alignment vertical="center"/>
    </xf>
    <xf numFmtId="0" fontId="4" fillId="4" borderId="77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25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73" fontId="0" fillId="4" borderId="0" xfId="0" applyNumberFormat="1" applyFill="1" applyAlignment="1">
      <alignment vertical="center"/>
    </xf>
    <xf numFmtId="173" fontId="26" fillId="4" borderId="0" xfId="0" applyNumberFormat="1" applyFont="1" applyFill="1" applyAlignment="1">
      <alignment vertical="center"/>
    </xf>
    <xf numFmtId="0" fontId="4" fillId="4" borderId="2" xfId="0" applyFont="1" applyFill="1" applyBorder="1" applyAlignment="1">
      <alignment vertical="center"/>
    </xf>
    <xf numFmtId="173" fontId="4" fillId="4" borderId="2" xfId="0" applyNumberFormat="1" applyFont="1" applyFill="1" applyBorder="1" applyAlignment="1">
      <alignment vertical="center"/>
    </xf>
    <xf numFmtId="166" fontId="0" fillId="4" borderId="0" xfId="0" applyNumberFormat="1" applyFill="1" applyAlignment="1">
      <alignment horizontal="right" vertical="center"/>
    </xf>
    <xf numFmtId="166" fontId="0" fillId="4" borderId="0" xfId="0" applyNumberFormat="1" applyFill="1" applyAlignment="1">
      <alignment vertical="center"/>
    </xf>
    <xf numFmtId="166" fontId="27" fillId="2" borderId="79" xfId="0" applyNumberFormat="1" applyFont="1" applyFill="1" applyBorder="1" applyAlignment="1">
      <alignment vertical="center"/>
    </xf>
    <xf numFmtId="0" fontId="28" fillId="4" borderId="0" xfId="0" applyFont="1" applyFill="1" applyAlignment="1">
      <alignment vertical="center"/>
    </xf>
    <xf numFmtId="174" fontId="0" fillId="2" borderId="78" xfId="0" applyNumberFormat="1" applyFill="1" applyBorder="1" applyAlignment="1">
      <alignment vertical="center"/>
    </xf>
    <xf numFmtId="175" fontId="0" fillId="11" borderId="0" xfId="0" applyNumberFormat="1" applyFill="1" applyAlignment="1">
      <alignment vertical="center"/>
    </xf>
    <xf numFmtId="166" fontId="27" fillId="4" borderId="79" xfId="0" applyNumberFormat="1" applyFont="1" applyFill="1" applyBorder="1" applyAlignment="1">
      <alignment vertical="center"/>
    </xf>
    <xf numFmtId="174" fontId="0" fillId="4" borderId="78" xfId="0" applyNumberFormat="1" applyFill="1" applyBorder="1" applyAlignment="1">
      <alignment vertical="center"/>
    </xf>
    <xf numFmtId="0" fontId="1" fillId="2" borderId="44" xfId="0" applyFont="1" applyFill="1" applyBorder="1" applyAlignment="1">
      <alignment horizontal="right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>
      <alignment horizontal="right"/>
    </xf>
    <xf numFmtId="0" fontId="8" fillId="2" borderId="50" xfId="0" applyFont="1" applyFill="1" applyBorder="1"/>
    <xf numFmtId="0" fontId="9" fillId="3" borderId="76" xfId="0" applyFont="1" applyFill="1" applyBorder="1" applyAlignment="1">
      <alignment horizontal="right"/>
    </xf>
    <xf numFmtId="0" fontId="1" fillId="2" borderId="80" xfId="0" applyFont="1" applyFill="1" applyBorder="1"/>
    <xf numFmtId="0" fontId="9" fillId="3" borderId="8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10" borderId="5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10" borderId="82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8" fillId="2" borderId="83" xfId="0" applyFont="1" applyFill="1" applyBorder="1" applyAlignment="1">
      <alignment horizontal="center" wrapText="1"/>
    </xf>
    <xf numFmtId="168" fontId="0" fillId="0" borderId="84" xfId="0" applyNumberFormat="1" applyBorder="1" applyAlignment="1" applyProtection="1">
      <alignment horizontal="center" vertical="center"/>
      <protection locked="0"/>
    </xf>
    <xf numFmtId="168" fontId="0" fillId="0" borderId="2" xfId="0" applyNumberFormat="1" applyBorder="1" applyAlignment="1" applyProtection="1">
      <alignment horizontal="center" vertical="center"/>
      <protection locked="0"/>
    </xf>
    <xf numFmtId="168" fontId="0" fillId="0" borderId="85" xfId="0" applyNumberFormat="1" applyBorder="1" applyAlignment="1" applyProtection="1">
      <alignment horizontal="center" vertical="center"/>
      <protection locked="0"/>
    </xf>
    <xf numFmtId="0" fontId="29" fillId="10" borderId="86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/>
    </xf>
    <xf numFmtId="0" fontId="30" fillId="3" borderId="5" xfId="0" applyFont="1" applyFill="1" applyBorder="1" applyAlignment="1">
      <alignment horizontal="center"/>
    </xf>
    <xf numFmtId="0" fontId="1" fillId="2" borderId="5" xfId="0" applyFont="1" applyFill="1" applyBorder="1"/>
    <xf numFmtId="0" fontId="30" fillId="3" borderId="11" xfId="0" applyFont="1" applyFill="1" applyBorder="1"/>
    <xf numFmtId="0" fontId="1" fillId="2" borderId="11" xfId="0" applyFont="1" applyFill="1" applyBorder="1"/>
    <xf numFmtId="0" fontId="30" fillId="3" borderId="87" xfId="0" applyFont="1" applyFill="1" applyBorder="1"/>
    <xf numFmtId="0" fontId="29" fillId="10" borderId="40" xfId="0" applyFont="1" applyFill="1" applyBorder="1" applyAlignment="1">
      <alignment horizontal="right"/>
    </xf>
    <xf numFmtId="171" fontId="1" fillId="5" borderId="11" xfId="0" applyNumberFormat="1" applyFont="1" applyFill="1" applyBorder="1"/>
    <xf numFmtId="171" fontId="1" fillId="2" borderId="0" xfId="0" applyNumberFormat="1" applyFont="1" applyFill="1"/>
    <xf numFmtId="171" fontId="1" fillId="2" borderId="11" xfId="0" applyNumberFormat="1" applyFont="1" applyFill="1" applyBorder="1"/>
    <xf numFmtId="171" fontId="1" fillId="2" borderId="12" xfId="0" applyNumberFormat="1" applyFont="1" applyFill="1" applyBorder="1"/>
    <xf numFmtId="171" fontId="1" fillId="5" borderId="9" xfId="0" applyNumberFormat="1" applyFont="1" applyFill="1" applyBorder="1"/>
    <xf numFmtId="171" fontId="1" fillId="2" borderId="9" xfId="0" applyNumberFormat="1" applyFont="1" applyFill="1" applyBorder="1"/>
    <xf numFmtId="171" fontId="1" fillId="2" borderId="14" xfId="0" applyNumberFormat="1" applyFont="1" applyFill="1" applyBorder="1"/>
    <xf numFmtId="171" fontId="1" fillId="5" borderId="19" xfId="0" applyNumberFormat="1" applyFont="1" applyFill="1" applyBorder="1"/>
    <xf numFmtId="171" fontId="1" fillId="2" borderId="19" xfId="0" applyNumberFormat="1" applyFont="1" applyFill="1" applyBorder="1"/>
    <xf numFmtId="171" fontId="1" fillId="2" borderId="83" xfId="0" applyNumberFormat="1" applyFont="1" applyFill="1" applyBorder="1"/>
    <xf numFmtId="164" fontId="1" fillId="3" borderId="5" xfId="0" applyNumberFormat="1" applyFont="1" applyFill="1" applyBorder="1"/>
    <xf numFmtId="164" fontId="1" fillId="2" borderId="5" xfId="0" applyNumberFormat="1" applyFont="1" applyFill="1" applyBorder="1"/>
    <xf numFmtId="164" fontId="1" fillId="3" borderId="8" xfId="0" applyNumberFormat="1" applyFont="1" applyFill="1" applyBorder="1"/>
    <xf numFmtId="9" fontId="1" fillId="5" borderId="9" xfId="0" applyNumberFormat="1" applyFont="1" applyFill="1" applyBorder="1" applyAlignment="1">
      <alignment horizontal="center"/>
    </xf>
    <xf numFmtId="9" fontId="1" fillId="2" borderId="9" xfId="0" applyNumberFormat="1" applyFont="1" applyFill="1" applyBorder="1" applyAlignment="1">
      <alignment horizontal="center"/>
    </xf>
    <xf numFmtId="9" fontId="1" fillId="2" borderId="14" xfId="0" applyNumberFormat="1" applyFont="1" applyFill="1" applyBorder="1" applyAlignment="1">
      <alignment horizontal="center"/>
    </xf>
    <xf numFmtId="165" fontId="1" fillId="5" borderId="9" xfId="0" applyNumberFormat="1" applyFont="1" applyFill="1" applyBorder="1" applyAlignment="1">
      <alignment horizontal="center"/>
    </xf>
    <xf numFmtId="165" fontId="1" fillId="2" borderId="9" xfId="0" applyNumberFormat="1" applyFont="1" applyFill="1" applyBorder="1" applyAlignment="1">
      <alignment horizontal="center"/>
    </xf>
    <xf numFmtId="165" fontId="1" fillId="2" borderId="14" xfId="0" applyNumberFormat="1" applyFont="1" applyFill="1" applyBorder="1" applyAlignment="1">
      <alignment horizontal="center"/>
    </xf>
    <xf numFmtId="2" fontId="1" fillId="5" borderId="65" xfId="0" applyNumberFormat="1" applyFont="1" applyFill="1" applyBorder="1" applyAlignment="1">
      <alignment horizontal="center"/>
    </xf>
    <xf numFmtId="2" fontId="1" fillId="2" borderId="65" xfId="0" applyNumberFormat="1" applyFont="1" applyFill="1" applyBorder="1" applyAlignment="1">
      <alignment horizontal="center"/>
    </xf>
    <xf numFmtId="2" fontId="1" fillId="2" borderId="66" xfId="0" applyNumberFormat="1" applyFont="1" applyFill="1" applyBorder="1" applyAlignment="1">
      <alignment horizontal="center"/>
    </xf>
    <xf numFmtId="2" fontId="1" fillId="2" borderId="88" xfId="0" applyNumberFormat="1" applyFont="1" applyFill="1" applyBorder="1" applyAlignment="1">
      <alignment horizontal="center"/>
    </xf>
    <xf numFmtId="2" fontId="1" fillId="2" borderId="89" xfId="0" applyNumberFormat="1" applyFont="1" applyFill="1" applyBorder="1" applyAlignment="1">
      <alignment horizontal="center"/>
    </xf>
    <xf numFmtId="0" fontId="29" fillId="10" borderId="42" xfId="0" applyFont="1" applyFill="1" applyBorder="1" applyAlignment="1">
      <alignment horizontal="right"/>
    </xf>
    <xf numFmtId="171" fontId="1" fillId="5" borderId="90" xfId="0" applyNumberFormat="1" applyFont="1" applyFill="1" applyBorder="1" applyAlignment="1">
      <alignment horizontal="center"/>
    </xf>
    <xf numFmtId="171" fontId="1" fillId="2" borderId="91" xfId="0" applyNumberFormat="1" applyFont="1" applyFill="1" applyBorder="1" applyAlignment="1">
      <alignment horizontal="center"/>
    </xf>
    <xf numFmtId="171" fontId="1" fillId="2" borderId="92" xfId="0" applyNumberFormat="1" applyFont="1" applyFill="1" applyBorder="1" applyAlignment="1">
      <alignment horizontal="center"/>
    </xf>
    <xf numFmtId="170" fontId="9" fillId="9" borderId="76" xfId="0" applyNumberFormat="1" applyFont="1" applyFill="1" applyBorder="1" applyAlignment="1">
      <alignment horizontal="right"/>
    </xf>
    <xf numFmtId="0" fontId="9" fillId="9" borderId="81" xfId="0" applyFont="1" applyFill="1" applyBorder="1" applyAlignment="1">
      <alignment horizontal="center"/>
    </xf>
    <xf numFmtId="0" fontId="8" fillId="2" borderId="5" xfId="0" applyFont="1" applyFill="1" applyBorder="1"/>
    <xf numFmtId="0" fontId="1" fillId="10" borderId="93" xfId="0" applyFont="1" applyFill="1" applyBorder="1" applyAlignment="1">
      <alignment horizontal="right" vertical="center"/>
    </xf>
    <xf numFmtId="0" fontId="8" fillId="2" borderId="9" xfId="0" applyFont="1" applyFill="1" applyBorder="1"/>
    <xf numFmtId="49" fontId="8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10" borderId="42" xfId="0" applyFont="1" applyFill="1" applyBorder="1" applyAlignment="1">
      <alignment horizontal="right" vertical="center"/>
    </xf>
    <xf numFmtId="168" fontId="8" fillId="2" borderId="9" xfId="0" applyNumberFormat="1" applyFont="1" applyFill="1" applyBorder="1" applyAlignment="1">
      <alignment horizontal="center" vertical="center"/>
    </xf>
    <xf numFmtId="170" fontId="9" fillId="9" borderId="23" xfId="0" applyNumberFormat="1" applyFont="1" applyFill="1" applyBorder="1" applyAlignment="1">
      <alignment horizontal="center"/>
    </xf>
    <xf numFmtId="0" fontId="30" fillId="9" borderId="11" xfId="0" applyFont="1" applyFill="1" applyBorder="1" applyAlignment="1">
      <alignment horizontal="center"/>
    </xf>
    <xf numFmtId="0" fontId="8" fillId="2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9" fontId="1" fillId="2" borderId="21" xfId="0" applyNumberFormat="1" applyFont="1" applyFill="1" applyBorder="1" applyAlignment="1">
      <alignment horizontal="center"/>
    </xf>
    <xf numFmtId="0" fontId="8" fillId="2" borderId="44" xfId="0" applyFont="1" applyFill="1" applyBorder="1"/>
    <xf numFmtId="9" fontId="1" fillId="2" borderId="22" xfId="0" applyNumberFormat="1" applyFont="1" applyFill="1" applyBorder="1" applyAlignment="1">
      <alignment horizontal="center"/>
    </xf>
    <xf numFmtId="0" fontId="29" fillId="2" borderId="2" xfId="0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center"/>
    </xf>
    <xf numFmtId="0" fontId="1" fillId="2" borderId="95" xfId="0" applyFont="1" applyFill="1" applyBorder="1"/>
    <xf numFmtId="0" fontId="20" fillId="2" borderId="44" xfId="0" applyFont="1" applyFill="1" applyBorder="1" applyAlignment="1">
      <alignment horizontal="right"/>
    </xf>
    <xf numFmtId="0" fontId="20" fillId="2" borderId="0" xfId="0" applyFont="1" applyFill="1" applyAlignment="1">
      <alignment horizontal="right"/>
    </xf>
    <xf numFmtId="0" fontId="1" fillId="2" borderId="95" xfId="0" applyFont="1" applyFill="1" applyBorder="1" applyAlignment="1">
      <alignment horizontal="right"/>
    </xf>
    <xf numFmtId="0" fontId="0" fillId="2" borderId="44" xfId="0" applyFill="1" applyBorder="1"/>
    <xf numFmtId="0" fontId="0" fillId="0" borderId="0" xfId="0" applyAlignment="1">
      <alignment horizontal="right"/>
    </xf>
    <xf numFmtId="0" fontId="31" fillId="0" borderId="0" xfId="0" applyFont="1" applyAlignment="1">
      <alignment wrapText="1"/>
    </xf>
    <xf numFmtId="0" fontId="4" fillId="14" borderId="96" xfId="0" applyFont="1" applyFill="1" applyBorder="1" applyAlignment="1">
      <alignment horizontal="center"/>
    </xf>
    <xf numFmtId="9" fontId="4" fillId="14" borderId="97" xfId="0" applyNumberFormat="1" applyFont="1" applyFill="1" applyBorder="1" applyAlignment="1">
      <alignment horizontal="center"/>
    </xf>
    <xf numFmtId="0" fontId="32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8" fillId="15" borderId="0" xfId="0" applyFont="1" applyFill="1" applyAlignment="1">
      <alignment horizontal="center"/>
    </xf>
    <xf numFmtId="0" fontId="18" fillId="15" borderId="1" xfId="0" applyFont="1" applyFill="1" applyBorder="1" applyAlignment="1">
      <alignment horizontal="right"/>
    </xf>
    <xf numFmtId="172" fontId="33" fillId="0" borderId="1" xfId="0" applyNumberFormat="1" applyFont="1" applyBorder="1"/>
    <xf numFmtId="0" fontId="34" fillId="0" borderId="0" xfId="0" applyFont="1"/>
    <xf numFmtId="0" fontId="35" fillId="0" borderId="0" xfId="0" applyFont="1"/>
    <xf numFmtId="175" fontId="36" fillId="0" borderId="0" xfId="0" applyNumberFormat="1" applyFont="1" applyAlignment="1">
      <alignment horizontal="center"/>
    </xf>
    <xf numFmtId="0" fontId="0" fillId="0" borderId="98" xfId="0" applyBorder="1" applyAlignment="1">
      <alignment horizontal="center"/>
    </xf>
    <xf numFmtId="171" fontId="0" fillId="0" borderId="98" xfId="0" applyNumberFormat="1" applyBorder="1"/>
    <xf numFmtId="177" fontId="0" fillId="0" borderId="99" xfId="0" applyNumberFormat="1" applyBorder="1"/>
    <xf numFmtId="0" fontId="33" fillId="0" borderId="0" xfId="0" applyFont="1"/>
    <xf numFmtId="0" fontId="2" fillId="0" borderId="0" xfId="0" applyFont="1"/>
    <xf numFmtId="0" fontId="0" fillId="0" borderId="98" xfId="0" applyBorder="1"/>
    <xf numFmtId="0" fontId="0" fillId="0" borderId="1" xfId="0" applyBorder="1"/>
    <xf numFmtId="0" fontId="37" fillId="0" borderId="0" xfId="0" applyFont="1"/>
    <xf numFmtId="0" fontId="0" fillId="0" borderId="100" xfId="0" applyBorder="1" applyAlignment="1">
      <alignment horizontal="center"/>
    </xf>
    <xf numFmtId="0" fontId="0" fillId="0" borderId="100" xfId="0" applyBorder="1"/>
    <xf numFmtId="171" fontId="0" fillId="0" borderId="100" xfId="0" applyNumberFormat="1" applyBorder="1"/>
    <xf numFmtId="0" fontId="4" fillId="0" borderId="101" xfId="0" applyFont="1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101" xfId="0" applyBorder="1"/>
    <xf numFmtId="171" fontId="0" fillId="0" borderId="101" xfId="0" applyNumberFormat="1" applyBorder="1"/>
    <xf numFmtId="171" fontId="0" fillId="0" borderId="0" xfId="0" applyNumberFormat="1"/>
    <xf numFmtId="0" fontId="2" fillId="0" borderId="0" xfId="0" applyFont="1" applyAlignment="1">
      <alignment horizontal="right"/>
    </xf>
    <xf numFmtId="0" fontId="0" fillId="8" borderId="98" xfId="0" applyFill="1" applyBorder="1" applyAlignment="1">
      <alignment horizontal="center"/>
    </xf>
    <xf numFmtId="171" fontId="0" fillId="8" borderId="98" xfId="0" applyNumberFormat="1" applyFill="1" applyBorder="1"/>
    <xf numFmtId="171" fontId="0" fillId="16" borderId="98" xfId="0" applyNumberFormat="1" applyFill="1" applyBorder="1"/>
    <xf numFmtId="0" fontId="0" fillId="8" borderId="98" xfId="0" applyFill="1" applyBorder="1"/>
    <xf numFmtId="173" fontId="0" fillId="0" borderId="1" xfId="0" applyNumberFormat="1" applyBorder="1"/>
    <xf numFmtId="0" fontId="0" fillId="8" borderId="100" xfId="0" applyFill="1" applyBorder="1" applyAlignment="1">
      <alignment horizontal="center"/>
    </xf>
    <xf numFmtId="0" fontId="0" fillId="8" borderId="100" xfId="0" applyFill="1" applyBorder="1"/>
    <xf numFmtId="171" fontId="0" fillId="8" borderId="100" xfId="0" applyNumberFormat="1" applyFill="1" applyBorder="1"/>
    <xf numFmtId="0" fontId="4" fillId="8" borderId="101" xfId="0" applyFont="1" applyFill="1" applyBorder="1" applyAlignment="1">
      <alignment horizontal="center"/>
    </xf>
    <xf numFmtId="0" fontId="0" fillId="8" borderId="101" xfId="0" applyFill="1" applyBorder="1" applyAlignment="1">
      <alignment horizontal="center"/>
    </xf>
    <xf numFmtId="0" fontId="0" fillId="8" borderId="101" xfId="0" applyFill="1" applyBorder="1"/>
    <xf numFmtId="171" fontId="0" fillId="8" borderId="101" xfId="0" applyNumberFormat="1" applyFill="1" applyBorder="1"/>
    <xf numFmtId="171" fontId="0" fillId="8" borderId="102" xfId="0" applyNumberFormat="1" applyFill="1" applyBorder="1"/>
    <xf numFmtId="178" fontId="0" fillId="8" borderId="99" xfId="0" applyNumberFormat="1" applyFill="1" applyBorder="1"/>
    <xf numFmtId="171" fontId="0" fillId="2" borderId="0" xfId="0" applyNumberFormat="1" applyFill="1"/>
    <xf numFmtId="0" fontId="18" fillId="0" borderId="1" xfId="0" applyFont="1" applyBorder="1"/>
    <xf numFmtId="0" fontId="18" fillId="0" borderId="0" xfId="0" applyFont="1"/>
    <xf numFmtId="0" fontId="9" fillId="3" borderId="1" xfId="0" applyFont="1" applyFill="1" applyBorder="1" applyAlignment="1">
      <alignment horizontal="left"/>
    </xf>
    <xf numFmtId="176" fontId="1" fillId="2" borderId="44" xfId="0" applyNumberFormat="1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 wrapText="1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49" fontId="8" fillId="2" borderId="1" xfId="0" applyNumberFormat="1" applyFont="1" applyFill="1" applyBorder="1" applyAlignment="1" applyProtection="1">
      <alignment horizontal="left" vertical="top" wrapText="1"/>
      <protection locked="0"/>
    </xf>
    <xf numFmtId="0" fontId="9" fillId="3" borderId="1" xfId="0" applyFont="1" applyFill="1" applyBorder="1" applyAlignment="1">
      <alignment horizontal="center"/>
    </xf>
    <xf numFmtId="0" fontId="8" fillId="2" borderId="94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right" wrapText="1"/>
      <protection locked="0"/>
    </xf>
  </cellXfs>
  <cellStyles count="3">
    <cellStyle name="Normal" xfId="0" builtinId="0"/>
    <cellStyle name="Normal 2" xfId="1" xr:uid="{00000000-0005-0000-0000-000006000000}"/>
    <cellStyle name="Normal 2 2 2" xfId="2" xr:uid="{00000000-0005-0000-0000-000007000000}"/>
  </cellStyles>
  <dxfs count="68"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843C0B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BFBFBF"/>
      <rgbColor rgb="FF808080"/>
      <rgbColor rgb="FFD9E3EF"/>
      <rgbColor rgb="FF993366"/>
      <rgbColor rgb="FFFFF2CC"/>
      <rgbColor rgb="FFECF1F9"/>
      <rgbColor rgb="FF660066"/>
      <rgbColor rgb="FFF2F2F2"/>
      <rgbColor rgb="FF0066CC"/>
      <rgbColor rgb="FFBDD7EE"/>
      <rgbColor rgb="FF000080"/>
      <rgbColor rgb="FFFF00FF"/>
      <rgbColor rgb="FFFFEB9C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FF99"/>
      <rgbColor rgb="FFB4C7E7"/>
      <rgbColor rgb="FFE7E6E6"/>
      <rgbColor rgb="FFDBDBDB"/>
      <rgbColor rgb="FFFFC7CE"/>
      <rgbColor rgb="FF4472C4"/>
      <rgbColor rgb="FF33CCCC"/>
      <rgbColor rgb="FF92D050"/>
      <rgbColor rgb="FFDAE3F3"/>
      <rgbColor rgb="FFFF9900"/>
      <rgbColor rgb="FFED7D31"/>
      <rgbColor rgb="FF595959"/>
      <rgbColor rgb="FFA6A6A6"/>
      <rgbColor rgb="FF1B3A5C"/>
      <rgbColor rgb="FF70AD47"/>
      <rgbColor rgb="FF003300"/>
      <rgbColor rgb="FF333300"/>
      <rgbColor rgb="FF843C0B"/>
      <rgbColor rgb="FF993366"/>
      <rgbColor rgb="FF2F5597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1066680</xdr:colOff>
      <xdr:row>2</xdr:row>
      <xdr:rowOff>88920</xdr:rowOff>
    </xdr:from>
    <xdr:to>
      <xdr:col>13</xdr:col>
      <xdr:colOff>1173960</xdr:colOff>
      <xdr:row>6</xdr:row>
      <xdr:rowOff>105840</xdr:rowOff>
    </xdr:to>
    <xdr:pic>
      <xdr:nvPicPr>
        <xdr:cNvPr id="2" name="Picture 2" descr="A picture containing drawing, light&#10;&#10;Description automatically generated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795880" y="641520"/>
          <a:ext cx="1281960" cy="81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1:R90"/>
  <sheetViews>
    <sheetView topLeftCell="A39" zoomScale="127" zoomScaleNormal="127" workbookViewId="0">
      <selection activeCell="M8" sqref="M8"/>
    </sheetView>
  </sheetViews>
  <sheetFormatPr baseColWidth="10" defaultColWidth="10.83203125" defaultRowHeight="15" x14ac:dyDescent="0.2"/>
  <cols>
    <col min="1" max="16384" width="10.83203125" style="15"/>
  </cols>
  <sheetData>
    <row r="11" spans="4:16" ht="24" customHeight="1" x14ac:dyDescent="0.3">
      <c r="D11" s="16" t="s">
        <v>0</v>
      </c>
    </row>
    <row r="14" spans="4:16" ht="15" customHeight="1" x14ac:dyDescent="0.2">
      <c r="P14" s="17" t="s">
        <v>1</v>
      </c>
    </row>
    <row r="18" spans="16:18" ht="18.75" customHeight="1" x14ac:dyDescent="0.25">
      <c r="R18" s="18" t="s">
        <v>2</v>
      </c>
    </row>
    <row r="19" spans="16:18" ht="15" customHeight="1" x14ac:dyDescent="0.2">
      <c r="P19" s="17" t="s">
        <v>3</v>
      </c>
    </row>
    <row r="20" spans="16:18" ht="15" customHeight="1" x14ac:dyDescent="0.2">
      <c r="P20" s="17" t="s">
        <v>4</v>
      </c>
    </row>
    <row r="21" spans="16:18" ht="15" customHeight="1" x14ac:dyDescent="0.2">
      <c r="P21" s="17" t="s">
        <v>5</v>
      </c>
    </row>
    <row r="22" spans="16:18" ht="15" customHeight="1" x14ac:dyDescent="0.2">
      <c r="P22" s="17" t="s">
        <v>6</v>
      </c>
    </row>
    <row r="23" spans="16:18" ht="15" customHeight="1" x14ac:dyDescent="0.2">
      <c r="P23" s="17" t="s">
        <v>7</v>
      </c>
    </row>
    <row r="59" spans="16:18" ht="15" customHeight="1" x14ac:dyDescent="0.2">
      <c r="P59" s="10" t="s">
        <v>8</v>
      </c>
      <c r="Q59" s="10"/>
      <c r="R59" s="10"/>
    </row>
    <row r="60" spans="16:18" ht="15" customHeight="1" x14ac:dyDescent="0.2">
      <c r="P60" s="10"/>
      <c r="Q60" s="10"/>
      <c r="R60" s="10"/>
    </row>
    <row r="61" spans="16:18" ht="15" customHeight="1" x14ac:dyDescent="0.2">
      <c r="P61" s="10"/>
      <c r="Q61" s="10"/>
      <c r="R61" s="10"/>
    </row>
    <row r="62" spans="16:18" ht="15" customHeight="1" x14ac:dyDescent="0.2">
      <c r="P62" s="10"/>
      <c r="Q62" s="10"/>
      <c r="R62" s="10"/>
    </row>
    <row r="63" spans="16:18" ht="15" customHeight="1" x14ac:dyDescent="0.2">
      <c r="P63" s="10"/>
      <c r="Q63" s="10"/>
      <c r="R63" s="10"/>
    </row>
    <row r="80" spans="1:1" ht="24" customHeight="1" x14ac:dyDescent="0.3">
      <c r="A80" s="16" t="s">
        <v>9</v>
      </c>
    </row>
    <row r="87" spans="13:13" ht="15" customHeight="1" x14ac:dyDescent="0.2">
      <c r="M87" s="17" t="s">
        <v>10</v>
      </c>
    </row>
    <row r="88" spans="13:13" ht="15" customHeight="1" x14ac:dyDescent="0.2">
      <c r="M88" s="17" t="s">
        <v>11</v>
      </c>
    </row>
    <row r="89" spans="13:13" ht="15" customHeight="1" x14ac:dyDescent="0.2">
      <c r="M89" s="19" t="s">
        <v>12</v>
      </c>
    </row>
    <row r="90" spans="13:13" ht="15" customHeight="1" x14ac:dyDescent="0.2">
      <c r="M90" s="19" t="s">
        <v>13</v>
      </c>
    </row>
  </sheetData>
  <mergeCells count="1">
    <mergeCell ref="P59:R63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100-000000000000}">
  <sheetPr>
    <tabColor rgb="FFBDD7EE"/>
  </sheetPr>
  <dimension ref="A1:BA178"/>
  <sheetViews>
    <sheetView showGridLines="0" zoomScaleNormal="100"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57.6640625" customWidth="1"/>
    <col min="2" max="2" width="35.83203125" customWidth="1"/>
    <col min="3" max="3" width="14" style="20" customWidth="1"/>
    <col min="4" max="4" width="12.5" customWidth="1"/>
    <col min="5" max="5" width="14.1640625" customWidth="1"/>
    <col min="6" max="6" width="11.83203125" style="15" customWidth="1"/>
    <col min="7" max="7" width="13.33203125" style="21" customWidth="1"/>
    <col min="8" max="8" width="12.5" customWidth="1"/>
    <col min="9" max="9" width="11.6640625" customWidth="1"/>
    <col min="10" max="10" width="12.1640625" style="21" customWidth="1"/>
    <col min="11" max="12" width="11.6640625" customWidth="1"/>
    <col min="13" max="13" width="11.6640625" style="21" customWidth="1"/>
    <col min="14" max="14" width="12" customWidth="1"/>
    <col min="15" max="15" width="11.6640625" customWidth="1"/>
    <col min="16" max="16" width="9" style="21" customWidth="1"/>
    <col min="17" max="17" width="12" customWidth="1"/>
    <col min="18" max="18" width="11.6640625" customWidth="1"/>
    <col min="19" max="19" width="9" style="21" customWidth="1"/>
    <col min="20" max="20" width="12" customWidth="1"/>
    <col min="21" max="21" width="11.6640625" customWidth="1"/>
    <col min="22" max="22" width="4.33203125" style="15" customWidth="1"/>
    <col min="23" max="53" width="9" style="15" customWidth="1"/>
  </cols>
  <sheetData>
    <row r="1" spans="1:21" s="15" customFormat="1" ht="28.5" customHeight="1" x14ac:dyDescent="0.35">
      <c r="A1" s="22">
        <f>Pricing!B1</f>
      </c>
      <c r="B1" s="23"/>
      <c r="C1" s="24"/>
      <c r="D1" s="23"/>
      <c r="E1" s="23"/>
      <c r="F1" s="23"/>
      <c r="G1" s="25"/>
      <c r="H1" s="23"/>
      <c r="I1" s="23"/>
      <c r="J1" s="25"/>
      <c r="K1" s="23"/>
      <c r="L1" s="23"/>
      <c r="M1" s="25"/>
      <c r="N1" s="23"/>
      <c r="O1" s="23"/>
      <c r="P1" s="25"/>
      <c r="Q1" s="23"/>
      <c r="R1" s="23"/>
      <c r="S1" s="25"/>
      <c r="T1" s="23"/>
    </row>
    <row r="2" spans="1:21" s="15" customFormat="1" ht="15" customHeight="1" x14ac:dyDescent="0.2">
      <c r="A2" s="23"/>
      <c r="B2" s="23"/>
      <c r="C2" s="24"/>
      <c r="D2" s="23"/>
      <c r="E2" s="23"/>
      <c r="F2" s="23"/>
    </row>
    <row r="3" spans="1:21" s="15" customFormat="1" ht="31.5" customHeight="1" x14ac:dyDescent="0.2">
      <c r="A3" s="26" t="s">
        <v>14</v>
      </c>
      <c r="B3" s="9">
        <f>'Exec Summary'!C5</f>
      </c>
      <c r="C3" s="9"/>
      <c r="D3" s="8" t="s">
        <v>15</v>
      </c>
      <c r="E3" s="8"/>
      <c r="F3" s="8" t="s">
        <v>16</v>
      </c>
      <c r="G3" s="8"/>
      <c r="H3" s="8" t="s">
        <v>17</v>
      </c>
      <c r="I3" s="8"/>
      <c r="J3" s="8" t="s">
        <v>18</v>
      </c>
      <c r="K3" s="8"/>
      <c r="L3" s="8" t="s">
        <v>19</v>
      </c>
      <c r="M3" s="8"/>
      <c r="N3" s="28"/>
      <c r="O3" s="28"/>
      <c r="P3" s="28" t="s">
        <v>20</v>
      </c>
      <c r="Q3" s="28"/>
      <c r="R3" s="28"/>
      <c r="S3" s="28" t="s">
        <v>20</v>
      </c>
      <c r="T3" s="28"/>
      <c r="U3" s="28"/>
    </row>
    <row r="4" spans="1:21" s="15" customFormat="1" ht="51" customHeight="1" x14ac:dyDescent="0.2">
      <c r="A4" s="29" t="s">
        <v>20</v>
      </c>
      <c r="B4" s="29"/>
      <c r="C4" s="30" t="s">
        <v>21</v>
      </c>
      <c r="D4" s="7" t="inlineStr">
        <is>
          <t xml:space="preserve"/>
        </is>
      </c>
      <c r="E4" s="7"/>
      <c r="F4" s="7" t="inlineStr">
        <is>
          <t xml:space="preserve"/>
        </is>
      </c>
      <c r="G4" s="7"/>
      <c r="H4" s="7" t="inlineStr">
        <is>
          <t xml:space="preserve"/>
        </is>
      </c>
      <c r="I4" s="7"/>
      <c r="J4" s="7" t="inlineStr">
        <is>
          <t xml:space="preserve"/>
        </is>
      </c>
      <c r="K4" s="7"/>
      <c r="L4" s="7" t="inlineStr">
        <is>
          <t xml:space="preserve"/>
        </is>
      </c>
      <c r="M4" s="7"/>
    </row>
    <row r="5" spans="1:21" s="15" customFormat="1" ht="6.75" customHeight="1" x14ac:dyDescent="0.2">
      <c r="A5" s="23"/>
      <c r="B5" s="23"/>
      <c r="C5" s="24"/>
      <c r="D5" s="23"/>
      <c r="E5" s="31"/>
      <c r="F5" s="23"/>
      <c r="G5" s="32"/>
      <c r="H5" s="32"/>
      <c r="I5" s="23"/>
      <c r="J5" s="32"/>
      <c r="K5" s="32"/>
      <c r="L5" s="23"/>
      <c r="M5" s="32"/>
      <c r="N5" s="32"/>
      <c r="O5" s="23"/>
      <c r="P5" s="32"/>
      <c r="Q5" s="32"/>
      <c r="R5" s="23"/>
      <c r="S5" s="32"/>
      <c r="T5" s="32"/>
    </row>
    <row r="6" spans="1:21" s="34" customFormat="1" ht="30.75" customHeight="1" x14ac:dyDescent="0.2">
      <c r="A6" s="6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33"/>
      <c r="O6" s="33"/>
      <c r="P6" s="33"/>
      <c r="Q6" s="33"/>
      <c r="R6" s="33"/>
      <c r="S6" s="33"/>
      <c r="T6" s="33"/>
      <c r="U6" s="33"/>
    </row>
    <row r="7" spans="1:21" s="37" customFormat="1" ht="15.75" customHeight="1" x14ac:dyDescent="0.2">
      <c r="A7" s="35"/>
      <c r="B7" s="27"/>
      <c r="C7" s="27"/>
      <c r="D7" s="8" t="s">
        <v>15</v>
      </c>
      <c r="E7" s="8"/>
      <c r="F7" s="8" t="s">
        <v>16</v>
      </c>
      <c r="G7" s="8"/>
      <c r="H7" s="8" t="s">
        <v>17</v>
      </c>
      <c r="I7" s="8"/>
      <c r="J7" s="8" t="s">
        <v>18</v>
      </c>
      <c r="K7" s="8"/>
      <c r="L7" s="8" t="s">
        <v>19</v>
      </c>
      <c r="M7" s="8"/>
      <c r="N7" s="36"/>
      <c r="O7" s="36"/>
      <c r="P7" s="36"/>
      <c r="Q7" s="36"/>
      <c r="R7" s="36"/>
    </row>
    <row r="8" spans="1:21" ht="33.75" customHeight="1" x14ac:dyDescent="0.2">
      <c r="A8" s="38" t="s">
        <v>23</v>
      </c>
      <c r="B8" s="38" t="s">
        <v>24</v>
      </c>
      <c r="C8" s="39" t="s">
        <v>25</v>
      </c>
      <c r="D8" s="40" t="s">
        <v>26</v>
      </c>
      <c r="E8" s="41" t="s">
        <v>27</v>
      </c>
      <c r="F8" s="42" t="s">
        <v>26</v>
      </c>
      <c r="G8" s="43" t="s">
        <v>27</v>
      </c>
      <c r="H8" s="44" t="s">
        <v>26</v>
      </c>
      <c r="I8" s="45" t="s">
        <v>27</v>
      </c>
      <c r="J8" s="46" t="s">
        <v>26</v>
      </c>
      <c r="K8" s="47" t="s">
        <v>27</v>
      </c>
      <c r="L8" s="48" t="s">
        <v>26</v>
      </c>
      <c r="M8" s="38" t="s">
        <v>27</v>
      </c>
      <c r="N8" s="15"/>
      <c r="O8" s="15"/>
      <c r="P8" s="15"/>
      <c r="Q8" s="15"/>
      <c r="R8" s="15"/>
      <c r="S8" s="15"/>
      <c r="T8" s="15"/>
      <c r="U8" s="15"/>
    </row>
    <row r="9" spans="1:21" ht="15" customHeight="1" x14ac:dyDescent="0.2">
      <c r="A9" s="49" t="s">
        <v>28</v>
      </c>
      <c r="B9" s="50"/>
      <c r="C9" s="51"/>
      <c r="D9" s="52"/>
      <c r="E9" s="50"/>
      <c r="F9" s="52"/>
      <c r="G9" s="50"/>
      <c r="H9" s="53"/>
      <c r="I9" s="54"/>
      <c r="J9" s="53"/>
      <c r="K9" s="54"/>
      <c r="L9" s="53"/>
      <c r="M9" s="55"/>
      <c r="N9" s="15"/>
      <c r="O9" s="56"/>
      <c r="P9" s="15" t="s">
        <v>29</v>
      </c>
      <c r="Q9" s="15"/>
      <c r="R9" s="15"/>
      <c r="S9" s="15"/>
      <c r="T9" s="15"/>
      <c r="U9" s="15"/>
    </row>
    <row r="10" spans="1:21" ht="15" customHeight="1" x14ac:dyDescent="0.2">
      <c r="A10" s="57" t="inlineStr">
        <is>
          <t xml:space="preserve"/>
        </is>
      </c>
      <c r="B10" s="58" t="inlineStr">
        <is>
          <t xml:space="preserve">-</t>
        </is>
      </c>
      <c r="C10" s="59">
        <v>0</v>
      </c>
      <c r="D10" s="60">
        <v>0</v>
      </c>
      <c r="E10" s="61">
        <f>SUM(C10*D10)</f>
      </c>
      <c r="F10" s="60">
        <v>0</v>
      </c>
      <c r="G10" s="61">
        <f>F10*C10</f>
      </c>
      <c r="H10" s="60">
        <v>0</v>
      </c>
      <c r="I10" s="61">
        <f>SUM(H10*C10)</f>
      </c>
      <c r="J10" s="60">
        <v>0</v>
      </c>
      <c r="K10" s="61">
        <f>SUM(J10*C10)</f>
      </c>
      <c r="L10" s="60">
        <v>0</v>
      </c>
      <c r="M10" s="62">
        <f>SUM(L10*C10)</f>
      </c>
      <c r="N10" s="15"/>
      <c r="O10" s="5" t="inlineStr">
        <is>
          <t xml:space="preserve"/>
        </is>
      </c>
      <c r="P10" s="5"/>
      <c r="Q10" s="5"/>
      <c r="R10" s="5"/>
      <c r="S10" s="5"/>
      <c r="T10" s="15"/>
      <c r="U10" s="15"/>
    </row>
    <row r="11" spans="1:21" ht="15" customHeight="1" x14ac:dyDescent="0.2">
      <c r="A11" s="63" t="inlineStr">
        <is>
          <t xml:space="preserve"/>
        </is>
      </c>
      <c r="B11" s="58" t="inlineStr">
        <is>
          <t xml:space="preserve">-</t>
        </is>
      </c>
      <c r="C11" s="59">
        <v>0</v>
      </c>
      <c r="D11" s="60">
        <v>0</v>
      </c>
      <c r="E11" s="61">
        <f>SUM(C11*D11)</f>
      </c>
      <c r="F11" s="60">
        <v>0</v>
      </c>
      <c r="G11" s="61">
        <f>F11*C11</f>
      </c>
      <c r="H11" s="60">
        <v>0</v>
      </c>
      <c r="I11" s="61">
        <f>SUM(H11*C11)</f>
      </c>
      <c r="J11" s="60">
        <v>0</v>
      </c>
      <c r="K11" s="61">
        <f>SUM(J11*C11)</f>
      </c>
      <c r="L11" s="60">
        <v>0</v>
      </c>
      <c r="M11" s="62">
        <f>SUM(L11*C11)</f>
      </c>
      <c r="N11" s="15"/>
      <c r="O11" s="64" t="inlineStr">
        <is>
          <t xml:space="preserve"/>
        </is>
      </c>
      <c r="P11" s="65"/>
      <c r="Q11" s="65"/>
      <c r="R11" s="65"/>
      <c r="S11" s="66"/>
      <c r="T11" s="15"/>
      <c r="U11" s="15"/>
    </row>
    <row r="12" spans="1:21" ht="15" customHeight="1" x14ac:dyDescent="0.2">
      <c r="A12" s="63" t="inlineStr">
        <is>
          <t xml:space="preserve"/>
        </is>
      </c>
      <c r="B12" s="58" t="inlineStr">
        <is>
          <t xml:space="preserve">-</t>
        </is>
      </c>
      <c r="C12" s="59">
        <v>0</v>
      </c>
      <c r="D12" s="60">
        <v>0</v>
      </c>
      <c r="E12" s="61">
        <f>SUM(C12*D12)</f>
      </c>
      <c r="F12" s="60">
        <v>0</v>
      </c>
      <c r="G12" s="61">
        <f>F12*C12</f>
      </c>
      <c r="H12" s="60">
        <v>0</v>
      </c>
      <c r="I12" s="67">
        <f>SUM(H12*C12)</f>
      </c>
      <c r="J12" s="60">
        <v>0</v>
      </c>
      <c r="K12" s="67">
        <f>SUM(J12*C12)</f>
      </c>
      <c r="L12" s="60">
        <v>0</v>
      </c>
      <c r="M12" s="68">
        <f>SUM(L12*C12)</f>
      </c>
      <c r="N12" s="15"/>
      <c r="O12" s="64" t="inlineStr">
        <is>
          <t xml:space="preserve"/>
        </is>
      </c>
      <c r="P12" s="65"/>
      <c r="Q12" s="65"/>
      <c r="R12" s="65"/>
      <c r="S12" s="66"/>
      <c r="T12" s="15"/>
      <c r="U12" s="15"/>
    </row>
    <row r="13" spans="1:21" ht="15" customHeight="1" x14ac:dyDescent="0.2">
      <c r="A13" s="63" t="inlineStr">
        <is>
          <t xml:space="preserve"/>
        </is>
      </c>
      <c r="B13" s="58" t="inlineStr">
        <is>
          <t xml:space="preserve">-</t>
        </is>
      </c>
      <c r="C13" s="59">
        <v>0</v>
      </c>
      <c r="D13" s="60">
        <v>0</v>
      </c>
      <c r="E13" s="67">
        <f>SUM(C13*D13)</f>
      </c>
      <c r="F13" s="60">
        <v>0</v>
      </c>
      <c r="G13" s="61">
        <f>F13*C13</f>
      </c>
      <c r="H13" s="60">
        <v>0</v>
      </c>
      <c r="I13" s="67">
        <f>SUM(H13*C13)</f>
      </c>
      <c r="J13" s="60">
        <v>0</v>
      </c>
      <c r="K13" s="67">
        <f>SUM(J13*C13)</f>
      </c>
      <c r="L13" s="60">
        <v>0</v>
      </c>
      <c r="M13" s="68">
        <f>SUM(L13*C13)</f>
      </c>
      <c r="N13" s="15"/>
      <c r="O13" s="64" t="inlineStr">
        <is>
          <t xml:space="preserve"/>
        </is>
      </c>
      <c r="P13" s="65"/>
      <c r="Q13" s="65"/>
      <c r="R13" s="65"/>
      <c r="S13" s="66"/>
      <c r="T13" s="15"/>
      <c r="U13" s="15"/>
    </row>
    <row r="14" spans="1:21" ht="15" customHeight="1" x14ac:dyDescent="0.2">
      <c r="A14" s="63" t="inlineStr">
        <is>
          <t xml:space="preserve"/>
        </is>
      </c>
      <c r="B14" s="58" t="inlineStr">
        <is>
          <t xml:space="preserve">-</t>
        </is>
      </c>
      <c r="C14" s="59">
        <v>0</v>
      </c>
      <c r="D14" s="60">
        <v>0</v>
      </c>
      <c r="E14" s="67">
        <f>SUM(C14*D14)</f>
      </c>
      <c r="F14" s="60">
        <v>0</v>
      </c>
      <c r="G14" s="61">
        <f>F14*C14</f>
      </c>
      <c r="H14" s="60">
        <v>0</v>
      </c>
      <c r="I14" s="67">
        <f>SUM(H14*C14)</f>
      </c>
      <c r="J14" s="60">
        <v>0</v>
      </c>
      <c r="K14" s="67">
        <f>SUM(J14*C14)</f>
      </c>
      <c r="L14" s="60">
        <v>0</v>
      </c>
      <c r="M14" s="68">
        <f>SUM(L14*C14)</f>
      </c>
      <c r="N14" s="15"/>
      <c r="O14" s="64" t="inlineStr">
        <is>
          <t xml:space="preserve"/>
        </is>
      </c>
      <c r="P14" s="65"/>
      <c r="Q14" s="65"/>
      <c r="R14" s="65"/>
      <c r="S14" s="66"/>
      <c r="T14" s="15"/>
      <c r="U14" s="15"/>
    </row>
    <row r="15" spans="1:21" ht="15" customHeight="1" x14ac:dyDescent="0.2">
      <c r="A15" s="63" t="inlineStr">
        <is>
          <t xml:space="preserve"/>
        </is>
      </c>
      <c r="B15" s="58" t="inlineStr">
        <is>
          <t xml:space="preserve">-</t>
        </is>
      </c>
      <c r="C15" s="59">
        <v>0</v>
      </c>
      <c r="D15" s="60">
        <v>0</v>
      </c>
      <c r="E15" s="67">
        <f>SUM(C15*D15)</f>
      </c>
      <c r="F15" s="60">
        <v>0</v>
      </c>
      <c r="G15" s="61">
        <f>F15*C15</f>
      </c>
      <c r="H15" s="60">
        <v>0</v>
      </c>
      <c r="I15" s="67">
        <f>SUM(H15*C15)</f>
      </c>
      <c r="J15" s="60">
        <v>0</v>
      </c>
      <c r="K15" s="67">
        <f>SUM(J15*C15)</f>
      </c>
      <c r="L15" s="60">
        <v>0</v>
      </c>
      <c r="M15" s="68">
        <f>SUM(L15*C15)</f>
      </c>
      <c r="N15" s="15"/>
      <c r="O15" s="64" t="inlineStr">
        <is>
          <t xml:space="preserve"/>
        </is>
      </c>
      <c r="P15" s="65"/>
      <c r="Q15" s="65"/>
      <c r="R15" s="65"/>
      <c r="S15" s="66"/>
      <c r="T15" s="15"/>
      <c r="U15" s="15"/>
    </row>
    <row r="16" spans="1:21" ht="15" customHeight="1" x14ac:dyDescent="0.2">
      <c r="A16" s="63" t="inlineStr">
        <is>
          <t xml:space="preserve"/>
        </is>
      </c>
      <c r="B16" s="58" t="inlineStr">
        <is>
          <t xml:space="preserve">-</t>
        </is>
      </c>
      <c r="C16" s="59">
        <v>0</v>
      </c>
      <c r="D16" s="60">
        <v>0</v>
      </c>
      <c r="E16" s="67">
        <f>SUM(C16*D16)</f>
      </c>
      <c r="F16" s="60">
        <v>0</v>
      </c>
      <c r="G16" s="61">
        <f>F16*C16</f>
      </c>
      <c r="H16" s="60">
        <v>0</v>
      </c>
      <c r="I16" s="67">
        <f>SUM(H16*C16)</f>
      </c>
      <c r="J16" s="60">
        <v>0</v>
      </c>
      <c r="K16" s="67">
        <f>SUM(J16*C16)</f>
      </c>
      <c r="L16" s="60">
        <v>0</v>
      </c>
      <c r="M16" s="68">
        <f>SUM(L16*C16)</f>
      </c>
      <c r="N16" s="15"/>
      <c r="O16" s="64" t="inlineStr">
        <is>
          <t xml:space="preserve"/>
        </is>
      </c>
      <c r="P16" s="65"/>
      <c r="Q16" s="65"/>
      <c r="R16" s="65"/>
      <c r="S16" s="66"/>
      <c r="T16" s="15"/>
      <c r="U16" s="15"/>
    </row>
    <row r="17" spans="1:21" ht="15" customHeight="1" x14ac:dyDescent="0.2">
      <c r="A17" s="63" t="inlineStr">
        <is>
          <t xml:space="preserve"/>
        </is>
      </c>
      <c r="B17" s="58" t="inlineStr">
        <is>
          <t xml:space="preserve">-</t>
        </is>
      </c>
      <c r="C17" s="59">
        <v>0</v>
      </c>
      <c r="D17" s="60">
        <v>0</v>
      </c>
      <c r="E17" s="67">
        <f>SUM(C17*D17)</f>
      </c>
      <c r="F17" s="60">
        <v>0</v>
      </c>
      <c r="G17" s="61">
        <f>F17*C17</f>
      </c>
      <c r="H17" s="60">
        <v>0</v>
      </c>
      <c r="I17" s="67">
        <f>SUM(H17*C17)</f>
      </c>
      <c r="J17" s="60">
        <v>0</v>
      </c>
      <c r="K17" s="67">
        <f>SUM(J17*C17)</f>
      </c>
      <c r="L17" s="60">
        <v>0</v>
      </c>
      <c r="M17" s="68">
        <f>SUM(L17*C17)</f>
      </c>
      <c r="N17" s="15"/>
      <c r="O17" s="64" t="inlineStr">
        <is>
          <t xml:space="preserve"/>
        </is>
      </c>
      <c r="P17" s="65"/>
      <c r="Q17" s="65"/>
      <c r="R17" s="65"/>
      <c r="S17" s="66"/>
      <c r="T17" s="15"/>
      <c r="U17" s="15"/>
    </row>
    <row r="18" spans="1:21" ht="15" customHeight="1" x14ac:dyDescent="0.2">
      <c r="A18" s="63" t="inlineStr">
        <is>
          <t xml:space="preserve"/>
        </is>
      </c>
      <c r="B18" s="58" t="inlineStr">
        <is>
          <t xml:space="preserve">-</t>
        </is>
      </c>
      <c r="C18" s="59">
        <v>0</v>
      </c>
      <c r="D18" s="60">
        <v>0</v>
      </c>
      <c r="E18" s="67">
        <f>SUM(C18*D18)</f>
      </c>
      <c r="F18" s="60">
        <v>0</v>
      </c>
      <c r="G18" s="61">
        <f>F18*C18</f>
      </c>
      <c r="H18" s="60">
        <v>0</v>
      </c>
      <c r="I18" s="67">
        <f>SUM(H18*C18)</f>
      </c>
      <c r="J18" s="60">
        <v>0</v>
      </c>
      <c r="K18" s="67">
        <f>SUM(J18*C18)</f>
      </c>
      <c r="L18" s="60">
        <v>0</v>
      </c>
      <c r="M18" s="68">
        <f>SUM(L18*C18)</f>
      </c>
      <c r="N18" s="15"/>
      <c r="O18" s="64" t="inlineStr">
        <is>
          <t xml:space="preserve"/>
        </is>
      </c>
      <c r="P18" s="65"/>
      <c r="Q18" s="65"/>
      <c r="R18" s="65"/>
      <c r="S18" s="66"/>
      <c r="T18" s="15"/>
      <c r="U18" s="15"/>
    </row>
    <row r="19" spans="1:21" ht="15" customHeight="1" x14ac:dyDescent="0.2">
      <c r="A19" s="63" t="inlineStr">
        <is>
          <t xml:space="preserve"/>
        </is>
      </c>
      <c r="B19" s="58" t="inlineStr">
        <is>
          <t xml:space="preserve">-</t>
        </is>
      </c>
      <c r="C19" s="59">
        <v>0</v>
      </c>
      <c r="D19" s="60">
        <v>0</v>
      </c>
      <c r="E19" s="67">
        <f>SUM(C19*D19)</f>
      </c>
      <c r="F19" s="60">
        <v>0</v>
      </c>
      <c r="G19" s="61">
        <f>F19*C19</f>
      </c>
      <c r="H19" s="60">
        <v>0</v>
      </c>
      <c r="I19" s="67">
        <f>SUM(H19*C19)</f>
      </c>
      <c r="J19" s="60">
        <v>0</v>
      </c>
      <c r="K19" s="67">
        <f>SUM(J19*C19)</f>
      </c>
      <c r="L19" s="60">
        <v>0</v>
      </c>
      <c r="M19" s="68">
        <f>SUM(L19*C19)</f>
      </c>
      <c r="N19" s="15"/>
      <c r="O19" s="64" t="inlineStr">
        <is>
          <t xml:space="preserve"/>
        </is>
      </c>
      <c r="P19" s="65"/>
      <c r="Q19" s="65"/>
      <c r="R19" s="65"/>
      <c r="S19" s="66"/>
      <c r="T19" s="15"/>
      <c r="U19" s="15"/>
    </row>
    <row r="20" spans="1:21" ht="15" customHeight="1" x14ac:dyDescent="0.2">
      <c r="A20" s="63" t="inlineStr">
        <is>
          <t xml:space="preserve"/>
        </is>
      </c>
      <c r="B20" s="58" t="inlineStr">
        <is>
          <t xml:space="preserve">-</t>
        </is>
      </c>
      <c r="C20" s="59">
        <v>0</v>
      </c>
      <c r="D20" s="60">
        <v>0</v>
      </c>
      <c r="E20" s="67">
        <f>SUM(C20*D20)</f>
      </c>
      <c r="F20" s="60">
        <v>0</v>
      </c>
      <c r="G20" s="61">
        <f>F20*C20</f>
      </c>
      <c r="H20" s="60">
        <v>0</v>
      </c>
      <c r="I20" s="67">
        <f>SUM(H20*C20)</f>
      </c>
      <c r="J20" s="60">
        <v>0</v>
      </c>
      <c r="K20" s="67">
        <f>SUM(J20*C20)</f>
      </c>
      <c r="L20" s="60">
        <v>0</v>
      </c>
      <c r="M20" s="68">
        <f>SUM(L20*C20)</f>
      </c>
      <c r="N20" s="15"/>
      <c r="O20" s="64" t="inlineStr">
        <is>
          <t xml:space="preserve"/>
        </is>
      </c>
      <c r="P20" s="65"/>
      <c r="Q20" s="65"/>
      <c r="R20" s="65"/>
      <c r="S20" s="66"/>
      <c r="T20" s="15"/>
      <c r="U20" s="15"/>
    </row>
    <row r="21" spans="1:21" ht="15" customHeight="1" x14ac:dyDescent="0.2">
      <c r="A21" s="63" t="inlineStr">
        <is>
          <t xml:space="preserve"/>
        </is>
      </c>
      <c r="B21" s="58" t="inlineStr">
        <is>
          <t xml:space="preserve">-</t>
        </is>
      </c>
      <c r="C21" s="59">
        <v>0</v>
      </c>
      <c r="D21" s="60">
        <v>0</v>
      </c>
      <c r="E21" s="67">
        <f>SUM(C21*D21)</f>
      </c>
      <c r="F21" s="60">
        <v>0</v>
      </c>
      <c r="G21" s="61">
        <f>F21*C21</f>
      </c>
      <c r="H21" s="60">
        <v>0</v>
      </c>
      <c r="I21" s="67">
        <f>SUM(H21*C21)</f>
      </c>
      <c r="J21" s="60">
        <v>0</v>
      </c>
      <c r="K21" s="67">
        <f>SUM(J21*C21)</f>
      </c>
      <c r="L21" s="60">
        <v>0</v>
      </c>
      <c r="M21" s="68">
        <f>SUM(L21*C21)</f>
      </c>
      <c r="N21" s="15"/>
      <c r="O21" s="64" t="inlineStr">
        <is>
          <t xml:space="preserve"/>
        </is>
      </c>
      <c r="P21" s="65"/>
      <c r="Q21" s="65"/>
      <c r="R21" s="65"/>
      <c r="S21" s="66"/>
      <c r="T21" s="15"/>
      <c r="U21" s="15"/>
    </row>
    <row r="22" spans="1:21" ht="15" customHeight="1" x14ac:dyDescent="0.2">
      <c r="A22" s="63" t="inlineStr">
        <is>
          <t xml:space="preserve"/>
        </is>
      </c>
      <c r="B22" s="58" t="inlineStr">
        <is>
          <t xml:space="preserve">-</t>
        </is>
      </c>
      <c r="C22" s="59">
        <v>0</v>
      </c>
      <c r="D22" s="60">
        <v>0</v>
      </c>
      <c r="E22" s="67">
        <f>SUM(C22*D22)</f>
      </c>
      <c r="F22" s="60">
        <v>0</v>
      </c>
      <c r="G22" s="61">
        <f>F22*C22</f>
      </c>
      <c r="H22" s="60">
        <v>0</v>
      </c>
      <c r="I22" s="67">
        <f>SUM(H22*C22)</f>
      </c>
      <c r="J22" s="60">
        <v>0</v>
      </c>
      <c r="K22" s="67">
        <f>SUM(J22*C22)</f>
      </c>
      <c r="L22" s="60">
        <v>0</v>
      </c>
      <c r="M22" s="68">
        <f>SUM(L22*C22)</f>
      </c>
      <c r="N22" s="15"/>
      <c r="O22" s="64" t="inlineStr">
        <is>
          <t xml:space="preserve"/>
        </is>
      </c>
      <c r="P22" s="65"/>
      <c r="Q22" s="65"/>
      <c r="R22" s="65"/>
      <c r="S22" s="66"/>
      <c r="T22" s="15"/>
      <c r="U22" s="15"/>
    </row>
    <row r="23" spans="1:21" ht="15" customHeight="1" x14ac:dyDescent="0.2">
      <c r="A23" s="63" t="inlineStr">
        <is>
          <t xml:space="preserve"/>
        </is>
      </c>
      <c r="B23" s="58" t="inlineStr">
        <is>
          <t xml:space="preserve">-</t>
        </is>
      </c>
      <c r="C23" s="59">
        <v>0</v>
      </c>
      <c r="D23" s="60">
        <v>0</v>
      </c>
      <c r="E23" s="67">
        <f>SUM(C23*D23)</f>
      </c>
      <c r="F23" s="60">
        <v>0</v>
      </c>
      <c r="G23" s="61">
        <f>F23*C23</f>
      </c>
      <c r="H23" s="60">
        <v>0</v>
      </c>
      <c r="I23" s="67">
        <f>SUM(H23*C23)</f>
      </c>
      <c r="J23" s="60">
        <v>0</v>
      </c>
      <c r="K23" s="67">
        <f>SUM(J23*C23)</f>
      </c>
      <c r="L23" s="60">
        <v>0</v>
      </c>
      <c r="M23" s="68">
        <f>SUM(L23*C23)</f>
      </c>
      <c r="N23" s="15"/>
      <c r="O23" s="64" t="inlineStr">
        <is>
          <t xml:space="preserve"/>
        </is>
      </c>
      <c r="P23" s="65"/>
      <c r="Q23" s="65"/>
      <c r="R23" s="65"/>
      <c r="S23" s="66"/>
      <c r="T23" s="15"/>
      <c r="U23" s="15"/>
    </row>
    <row r="24" spans="1:21" ht="15" customHeight="1" x14ac:dyDescent="0.2">
      <c r="A24" s="63" t="inlineStr">
        <is>
          <t xml:space="preserve"/>
        </is>
      </c>
      <c r="B24" s="58" t="inlineStr">
        <is>
          <t xml:space="preserve">-</t>
        </is>
      </c>
      <c r="C24" s="59">
        <v>0</v>
      </c>
      <c r="D24" s="60">
        <v>0</v>
      </c>
      <c r="E24" s="67">
        <f>SUM(C24*D24)</f>
      </c>
      <c r="F24" s="60">
        <v>0</v>
      </c>
      <c r="G24" s="61">
        <f>F24*C24</f>
      </c>
      <c r="H24" s="60">
        <v>0</v>
      </c>
      <c r="I24" s="67">
        <f>SUM(H24*C24)</f>
      </c>
      <c r="J24" s="60">
        <v>0</v>
      </c>
      <c r="K24" s="67">
        <f>SUM(J24*C24)</f>
      </c>
      <c r="L24" s="60">
        <v>0</v>
      </c>
      <c r="M24" s="68">
        <f>SUM(L24*C24)</f>
      </c>
      <c r="N24" s="15"/>
      <c r="O24" s="64" t="inlineStr">
        <is>
          <t xml:space="preserve"/>
        </is>
      </c>
      <c r="P24" s="65"/>
      <c r="Q24" s="65"/>
      <c r="R24" s="65"/>
      <c r="S24" s="66"/>
      <c r="T24" s="15"/>
      <c r="U24" s="15"/>
    </row>
    <row r="25" spans="1:21" ht="15" customHeight="1" x14ac:dyDescent="0.2">
      <c r="A25" s="63" t="inlineStr">
        <is>
          <t xml:space="preserve"/>
        </is>
      </c>
      <c r="B25" s="58" t="inlineStr">
        <is>
          <t xml:space="preserve">-</t>
        </is>
      </c>
      <c r="C25" s="59">
        <v>0</v>
      </c>
      <c r="D25" s="60">
        <v>0</v>
      </c>
      <c r="E25" s="67">
        <f>SUM(C25*D25)</f>
      </c>
      <c r="F25" s="60">
        <v>0</v>
      </c>
      <c r="G25" s="61">
        <f>F25*C25</f>
      </c>
      <c r="H25" s="60">
        <v>0</v>
      </c>
      <c r="I25" s="67">
        <f>SUM(H25*C25)</f>
      </c>
      <c r="J25" s="60">
        <v>0</v>
      </c>
      <c r="K25" s="67">
        <f>SUM(J25*C25)</f>
      </c>
      <c r="L25" s="60">
        <v>0</v>
      </c>
      <c r="M25" s="68">
        <f>SUM(L25*C25)</f>
      </c>
      <c r="N25" s="15"/>
      <c r="O25" s="64" t="inlineStr">
        <is>
          <t xml:space="preserve"/>
        </is>
      </c>
      <c r="P25" s="65"/>
      <c r="Q25" s="65"/>
      <c r="R25" s="65"/>
      <c r="S25" s="66"/>
      <c r="T25" s="15"/>
      <c r="U25" s="15"/>
    </row>
    <row r="26" spans="1:21" ht="15" customHeight="1" x14ac:dyDescent="0.2">
      <c r="A26" s="63" t="inlineStr">
        <is>
          <t xml:space="preserve"/>
        </is>
      </c>
      <c r="B26" s="58" t="inlineStr">
        <is>
          <t xml:space="preserve">-</t>
        </is>
      </c>
      <c r="C26" s="59">
        <v>0</v>
      </c>
      <c r="D26" s="60">
        <v>0</v>
      </c>
      <c r="E26" s="67">
        <f>SUM(C26*D26)</f>
      </c>
      <c r="F26" s="60">
        <v>0</v>
      </c>
      <c r="G26" s="61">
        <f>F26*C26</f>
      </c>
      <c r="H26" s="60">
        <v>0</v>
      </c>
      <c r="I26" s="67">
        <f>SUM(H26*C26)</f>
      </c>
      <c r="J26" s="60">
        <v>0</v>
      </c>
      <c r="K26" s="67">
        <f>SUM(J26*C26)</f>
      </c>
      <c r="L26" s="60">
        <v>0</v>
      </c>
      <c r="M26" s="68">
        <f>SUM(L26*C26)</f>
      </c>
      <c r="N26" s="15"/>
      <c r="O26" s="64" t="inlineStr">
        <is>
          <t xml:space="preserve"/>
        </is>
      </c>
      <c r="P26" s="65"/>
      <c r="Q26" s="65"/>
      <c r="R26" s="65"/>
      <c r="S26" s="66"/>
      <c r="T26" s="15"/>
      <c r="U26" s="15"/>
    </row>
    <row r="27" spans="1:21" ht="15" customHeight="1" x14ac:dyDescent="0.2">
      <c r="A27" s="57" t="inlineStr">
        <is>
          <t xml:space="preserve"/>
        </is>
      </c>
      <c r="B27" s="58" t="inlineStr">
        <is>
          <t xml:space="preserve">-</t>
        </is>
      </c>
      <c r="C27" s="59">
        <v>0</v>
      </c>
      <c r="D27" s="60">
        <v>0</v>
      </c>
      <c r="E27" s="67">
        <f>SUM(C27*D27)</f>
      </c>
      <c r="F27" s="60">
        <v>0</v>
      </c>
      <c r="G27" s="61">
        <f>F27*C27</f>
      </c>
      <c r="H27" s="60">
        <v>0</v>
      </c>
      <c r="I27" s="67">
        <f>SUM(H27*C27)</f>
      </c>
      <c r="J27" s="60">
        <v>0</v>
      </c>
      <c r="K27" s="67">
        <f>SUM(J27*C27)</f>
      </c>
      <c r="L27" s="60">
        <v>0</v>
      </c>
      <c r="M27" s="68">
        <f>SUM(L27*C27)</f>
      </c>
      <c r="N27" s="15"/>
      <c r="O27" s="64" t="inlineStr">
        <is>
          <t xml:space="preserve"/>
        </is>
      </c>
      <c r="P27" s="65"/>
      <c r="Q27" s="65"/>
      <c r="R27" s="65"/>
      <c r="S27" s="66"/>
      <c r="T27" s="15"/>
      <c r="U27" s="15"/>
    </row>
    <row r="28" spans="1:21" ht="15" customHeight="1" x14ac:dyDescent="0.2">
      <c r="A28" s="63" t="inlineStr">
        <is>
          <t xml:space="preserve"/>
        </is>
      </c>
      <c r="B28" s="58" t="inlineStr">
        <is>
          <t xml:space="preserve">-</t>
        </is>
      </c>
      <c r="C28" s="59">
        <v>0</v>
      </c>
      <c r="D28" s="60">
        <v>0</v>
      </c>
      <c r="E28" s="67">
        <f>SUM(C28*D28)</f>
      </c>
      <c r="F28" s="60">
        <v>0</v>
      </c>
      <c r="G28" s="61">
        <f>F28*C28</f>
      </c>
      <c r="H28" s="60">
        <v>0</v>
      </c>
      <c r="I28" s="67">
        <f>SUM(H28*C28)</f>
      </c>
      <c r="J28" s="60">
        <v>0</v>
      </c>
      <c r="K28" s="67">
        <f>SUM(J28*C28)</f>
      </c>
      <c r="L28" s="60">
        <v>0</v>
      </c>
      <c r="M28" s="68">
        <f>SUM(L28*C28)</f>
      </c>
      <c r="N28" s="15"/>
      <c r="O28" s="64" t="inlineStr">
        <is>
          <t xml:space="preserve"/>
        </is>
      </c>
      <c r="P28" s="65"/>
      <c r="Q28" s="65"/>
      <c r="R28" s="65"/>
      <c r="S28" s="66"/>
      <c r="T28" s="15"/>
      <c r="U28" s="15"/>
    </row>
    <row r="29" spans="1:21" ht="15" customHeight="1" x14ac:dyDescent="0.2">
      <c r="A29" s="63" t="inlineStr">
        <is>
          <t xml:space="preserve"/>
        </is>
      </c>
      <c r="B29" s="58" t="inlineStr">
        <is>
          <t xml:space="preserve">-</t>
        </is>
      </c>
      <c r="C29" s="59">
        <v>0</v>
      </c>
      <c r="D29" s="60">
        <v>0</v>
      </c>
      <c r="E29" s="67">
        <f>SUM(C29*D29)</f>
      </c>
      <c r="F29" s="60">
        <v>0</v>
      </c>
      <c r="G29" s="61">
        <f>F29*C29</f>
      </c>
      <c r="H29" s="60">
        <v>0</v>
      </c>
      <c r="I29" s="67">
        <f>SUM(H29*C29)</f>
      </c>
      <c r="J29" s="60">
        <v>0</v>
      </c>
      <c r="K29" s="67">
        <f>SUM(J29*C29)</f>
      </c>
      <c r="L29" s="60">
        <v>0</v>
      </c>
      <c r="M29" s="68">
        <f>SUM(L29*C29)</f>
      </c>
      <c r="N29" s="15"/>
      <c r="O29" s="64" t="inlineStr">
        <is>
          <t xml:space="preserve"/>
        </is>
      </c>
      <c r="P29" s="65"/>
      <c r="Q29" s="65"/>
      <c r="R29" s="65"/>
      <c r="S29" s="66"/>
      <c r="T29" s="15"/>
      <c r="U29" s="15"/>
    </row>
    <row r="30" spans="1:21" ht="15" customHeight="1" x14ac:dyDescent="0.2">
      <c r="A30" s="63" t="inlineStr">
        <is>
          <t xml:space="preserve"/>
        </is>
      </c>
      <c r="B30" s="58" t="inlineStr">
        <is>
          <t xml:space="preserve">-</t>
        </is>
      </c>
      <c r="C30" s="59">
        <v>0</v>
      </c>
      <c r="D30" s="60">
        <v>0</v>
      </c>
      <c r="E30" s="67">
        <f>SUM(C30*D30)</f>
      </c>
      <c r="F30" s="60">
        <v>0</v>
      </c>
      <c r="G30" s="61">
        <f>F30*C30</f>
      </c>
      <c r="H30" s="60">
        <v>0</v>
      </c>
      <c r="I30" s="67">
        <f>SUM(H30*C30)</f>
      </c>
      <c r="J30" s="60">
        <v>0</v>
      </c>
      <c r="K30" s="67">
        <f>SUM(J30*C30)</f>
      </c>
      <c r="L30" s="60">
        <v>0</v>
      </c>
      <c r="M30" s="68">
        <f>SUM(L30*C30)</f>
      </c>
      <c r="N30" s="15"/>
      <c r="O30" s="64" t="inlineStr">
        <is>
          <t xml:space="preserve"/>
        </is>
      </c>
      <c r="P30" s="65"/>
      <c r="Q30" s="65"/>
      <c r="R30" s="65"/>
      <c r="S30" s="66"/>
      <c r="T30" s="15"/>
      <c r="U30" s="15"/>
    </row>
    <row r="31" spans="1:21" ht="15" customHeight="1" x14ac:dyDescent="0.2">
      <c r="A31" s="57" t="inlineStr">
        <is>
          <t xml:space="preserve"/>
        </is>
      </c>
      <c r="B31" s="58" t="inlineStr">
        <is>
          <t xml:space="preserve">-</t>
        </is>
      </c>
      <c r="C31" s="59">
        <v>0</v>
      </c>
      <c r="D31" s="60">
        <v>0</v>
      </c>
      <c r="E31" s="67">
        <f>SUM(C31*D31)</f>
      </c>
      <c r="F31" s="60">
        <v>0</v>
      </c>
      <c r="G31" s="61">
        <f>F31*C31</f>
      </c>
      <c r="H31" s="60">
        <v>0</v>
      </c>
      <c r="I31" s="67">
        <f>SUM(H31*C31)</f>
      </c>
      <c r="J31" s="60">
        <v>0</v>
      </c>
      <c r="K31" s="67">
        <f>SUM(J31*C31)</f>
      </c>
      <c r="L31" s="60">
        <v>0</v>
      </c>
      <c r="M31" s="68">
        <f>SUM(L31*C31)</f>
      </c>
      <c r="N31" s="15"/>
      <c r="O31" s="64" t="inlineStr">
        <is>
          <t xml:space="preserve"/>
        </is>
      </c>
      <c r="P31" s="65"/>
      <c r="Q31" s="65"/>
      <c r="R31" s="65"/>
      <c r="S31" s="66"/>
      <c r="T31" s="15"/>
      <c r="U31" s="15"/>
    </row>
    <row r="32" spans="1:21" ht="15" customHeight="1" x14ac:dyDescent="0.2">
      <c r="A32" s="63" t="inlineStr">
        <is>
          <t xml:space="preserve"/>
        </is>
      </c>
      <c r="B32" s="58" t="inlineStr">
        <is>
          <t xml:space="preserve">-</t>
        </is>
      </c>
      <c r="C32" s="59">
        <v>0</v>
      </c>
      <c r="D32" s="60">
        <v>0</v>
      </c>
      <c r="E32" s="67">
        <f>SUM(C32*D32)</f>
      </c>
      <c r="F32" s="60">
        <v>0</v>
      </c>
      <c r="G32" s="61">
        <f>F32*C32</f>
      </c>
      <c r="H32" s="60">
        <v>0</v>
      </c>
      <c r="I32" s="67">
        <f>SUM(H32*C32)</f>
      </c>
      <c r="J32" s="60">
        <v>0</v>
      </c>
      <c r="K32" s="67">
        <f>SUM(J32*C32)</f>
      </c>
      <c r="L32" s="60">
        <v>0</v>
      </c>
      <c r="M32" s="68">
        <f>SUM(L32*C32)</f>
      </c>
      <c r="N32" s="15"/>
      <c r="O32" s="64" t="inlineStr">
        <is>
          <t xml:space="preserve"/>
        </is>
      </c>
      <c r="P32" s="65"/>
      <c r="Q32" s="65"/>
      <c r="R32" s="65"/>
      <c r="S32" s="66"/>
      <c r="T32" s="15"/>
      <c r="U32" s="15"/>
    </row>
    <row r="33" spans="1:21" ht="15" customHeight="1" x14ac:dyDescent="0.2">
      <c r="A33" s="63" t="inlineStr">
        <is>
          <t xml:space="preserve"/>
        </is>
      </c>
      <c r="B33" s="58" t="inlineStr">
        <is>
          <t xml:space="preserve">-</t>
        </is>
      </c>
      <c r="C33" s="59">
        <v>0</v>
      </c>
      <c r="D33" s="60">
        <v>0</v>
      </c>
      <c r="E33" s="67">
        <f>SUM(C33*D33)</f>
      </c>
      <c r="F33" s="60">
        <v>0</v>
      </c>
      <c r="G33" s="61">
        <f>F33*C33</f>
      </c>
      <c r="H33" s="60">
        <v>0</v>
      </c>
      <c r="I33" s="67">
        <f>SUM(H33*C33)</f>
      </c>
      <c r="J33" s="60">
        <v>0</v>
      </c>
      <c r="K33" s="67">
        <f>SUM(J33*C33)</f>
      </c>
      <c r="L33" s="60">
        <v>0</v>
      </c>
      <c r="M33" s="68">
        <f>SUM(L33*C33)</f>
      </c>
      <c r="N33" s="15"/>
      <c r="O33" s="64" t="inlineStr">
        <is>
          <t xml:space="preserve"/>
        </is>
      </c>
      <c r="P33" s="65"/>
      <c r="Q33" s="65"/>
      <c r="R33" s="65"/>
      <c r="S33" s="66"/>
      <c r="T33" s="15"/>
      <c r="U33" s="15"/>
    </row>
    <row r="34" spans="1:21" ht="15" customHeight="1" x14ac:dyDescent="0.2">
      <c r="A34" s="63" t="inlineStr">
        <is>
          <t xml:space="preserve"/>
        </is>
      </c>
      <c r="B34" s="58" t="inlineStr">
        <is>
          <t xml:space="preserve">-</t>
        </is>
      </c>
      <c r="C34" s="59">
        <v>0</v>
      </c>
      <c r="D34" s="60">
        <v>0</v>
      </c>
      <c r="E34" s="67">
        <f>SUM(C34*D34)</f>
      </c>
      <c r="F34" s="60">
        <v>0</v>
      </c>
      <c r="G34" s="61">
        <f>F34*C34</f>
      </c>
      <c r="H34" s="60">
        <v>0</v>
      </c>
      <c r="I34" s="67">
        <f>SUM(H34*C34)</f>
      </c>
      <c r="J34" s="60">
        <v>0</v>
      </c>
      <c r="K34" s="67">
        <f>SUM(J34*C34)</f>
      </c>
      <c r="L34" s="60">
        <v>0</v>
      </c>
      <c r="M34" s="68">
        <f>SUM(L34*C34)</f>
      </c>
      <c r="N34" s="15"/>
      <c r="O34" s="64" t="inlineStr">
        <is>
          <t xml:space="preserve"/>
        </is>
      </c>
      <c r="P34" s="65"/>
      <c r="Q34" s="65"/>
      <c r="R34" s="65"/>
      <c r="S34" s="66"/>
      <c r="T34" s="15"/>
      <c r="U34" s="15"/>
    </row>
    <row r="35" spans="1:21" ht="15" customHeight="1" x14ac:dyDescent="0.2">
      <c r="A35" s="63" t="inlineStr">
        <is>
          <t xml:space="preserve"/>
        </is>
      </c>
      <c r="B35" s="58" t="inlineStr">
        <is>
          <t xml:space="preserve">-</t>
        </is>
      </c>
      <c r="C35" s="59">
        <v>0</v>
      </c>
      <c r="D35" s="60">
        <v>0</v>
      </c>
      <c r="E35" s="67">
        <f>SUM(C35*D35)</f>
      </c>
      <c r="F35" s="60">
        <v>0</v>
      </c>
      <c r="G35" s="61">
        <f>F35*C35</f>
      </c>
      <c r="H35" s="60">
        <v>0</v>
      </c>
      <c r="I35" s="67">
        <f>SUM(H35*C35)</f>
      </c>
      <c r="J35" s="60">
        <v>0</v>
      </c>
      <c r="K35" s="67">
        <f>SUM(J35*C35)</f>
      </c>
      <c r="L35" s="60">
        <v>0</v>
      </c>
      <c r="M35" s="68">
        <f>SUM(L35*C35)</f>
      </c>
      <c r="N35" s="15"/>
      <c r="O35" s="64" t="inlineStr">
        <is>
          <t xml:space="preserve"/>
        </is>
      </c>
      <c r="P35" s="65"/>
      <c r="Q35" s="65"/>
      <c r="R35" s="65"/>
      <c r="S35" s="66"/>
      <c r="T35" s="15"/>
      <c r="U35" s="15"/>
    </row>
    <row r="36" spans="1:21" ht="15" customHeight="1" x14ac:dyDescent="0.2">
      <c r="A36" s="63" t="inlineStr">
        <is>
          <t xml:space="preserve"/>
        </is>
      </c>
      <c r="B36" s="58" t="inlineStr">
        <is>
          <t xml:space="preserve">-</t>
        </is>
      </c>
      <c r="C36" s="59">
        <v>0</v>
      </c>
      <c r="D36" s="60">
        <v>0</v>
      </c>
      <c r="E36" s="67">
        <f>SUM(C36*D36)</f>
      </c>
      <c r="F36" s="60">
        <v>0</v>
      </c>
      <c r="G36" s="61">
        <f>F36*C36</f>
      </c>
      <c r="H36" s="60">
        <v>0</v>
      </c>
      <c r="I36" s="67">
        <f>SUM(H36*C36)</f>
      </c>
      <c r="J36" s="60">
        <v>0</v>
      </c>
      <c r="K36" s="67">
        <f>SUM(J36*C36)</f>
      </c>
      <c r="L36" s="60">
        <v>0</v>
      </c>
      <c r="M36" s="68">
        <f>SUM(L36*C36)</f>
      </c>
      <c r="N36" s="15"/>
      <c r="O36" s="64" t="inlineStr">
        <is>
          <t xml:space="preserve"/>
        </is>
      </c>
      <c r="P36" s="65"/>
      <c r="Q36" s="65"/>
      <c r="R36" s="65"/>
      <c r="S36" s="66"/>
      <c r="T36" s="15"/>
      <c r="U36" s="15"/>
    </row>
    <row r="37" spans="1:21" ht="15" customHeight="1" x14ac:dyDescent="0.2">
      <c r="A37" s="63" t="inlineStr">
        <is>
          <t xml:space="preserve"/>
        </is>
      </c>
      <c r="B37" s="58" t="inlineStr">
        <is>
          <t xml:space="preserve">-</t>
        </is>
      </c>
      <c r="C37" s="59">
        <v>0</v>
      </c>
      <c r="D37" s="60">
        <v>0</v>
      </c>
      <c r="E37" s="67">
        <f>SUM(C37*D37)</f>
      </c>
      <c r="F37" s="60">
        <v>0</v>
      </c>
      <c r="G37" s="61">
        <f>F37*C37</f>
      </c>
      <c r="H37" s="60">
        <v>0</v>
      </c>
      <c r="I37" s="67">
        <f>SUM(H37*C37)</f>
      </c>
      <c r="J37" s="60">
        <v>0</v>
      </c>
      <c r="K37" s="67">
        <f>SUM(J37*C37)</f>
      </c>
      <c r="L37" s="60">
        <v>0</v>
      </c>
      <c r="M37" s="68">
        <f>SUM(L37*C37)</f>
      </c>
      <c r="N37" s="15"/>
      <c r="O37" s="64" t="inlineStr">
        <is>
          <t xml:space="preserve"/>
        </is>
      </c>
      <c r="P37" s="65"/>
      <c r="Q37" s="65"/>
      <c r="R37" s="65"/>
      <c r="S37" s="66"/>
      <c r="T37" s="15"/>
      <c r="U37" s="15"/>
    </row>
    <row r="38" spans="1:21" ht="15" customHeight="1" x14ac:dyDescent="0.2">
      <c r="A38" s="63" t="inlineStr">
        <is>
          <t xml:space="preserve"/>
        </is>
      </c>
      <c r="B38" s="58" t="inlineStr">
        <is>
          <t xml:space="preserve">-</t>
        </is>
      </c>
      <c r="C38" s="59">
        <v>0</v>
      </c>
      <c r="D38" s="60">
        <v>0</v>
      </c>
      <c r="E38" s="67">
        <f>SUM(C38*D38)</f>
      </c>
      <c r="F38" s="60">
        <v>0</v>
      </c>
      <c r="G38" s="61">
        <f>F38*C38</f>
      </c>
      <c r="H38" s="60">
        <v>0</v>
      </c>
      <c r="I38" s="67">
        <f>SUM(H38*C38)</f>
      </c>
      <c r="J38" s="60">
        <v>0</v>
      </c>
      <c r="K38" s="67">
        <f>SUM(J38*C38)</f>
      </c>
      <c r="L38" s="60">
        <v>0</v>
      </c>
      <c r="M38" s="68">
        <f>SUM(L38*C38)</f>
      </c>
      <c r="N38" s="15"/>
      <c r="O38" s="64" t="inlineStr">
        <is>
          <t xml:space="preserve"/>
        </is>
      </c>
      <c r="P38" s="65"/>
      <c r="Q38" s="65"/>
      <c r="R38" s="65"/>
      <c r="S38" s="66"/>
      <c r="T38" s="15"/>
      <c r="U38" s="15"/>
    </row>
    <row r="39" spans="1:21" ht="15" customHeight="1" x14ac:dyDescent="0.2">
      <c r="A39" s="63" t="inlineStr">
        <is>
          <t xml:space="preserve"/>
        </is>
      </c>
      <c r="B39" s="58" t="inlineStr">
        <is>
          <t xml:space="preserve">-</t>
        </is>
      </c>
      <c r="C39" s="59">
        <v>0</v>
      </c>
      <c r="D39" s="60">
        <v>0</v>
      </c>
      <c r="E39" s="67">
        <f>SUM(C39*D39)</f>
      </c>
      <c r="F39" s="60">
        <v>0</v>
      </c>
      <c r="G39" s="61">
        <f>F39*C39</f>
      </c>
      <c r="H39" s="60">
        <v>0</v>
      </c>
      <c r="I39" s="67">
        <f>SUM(H39*C39)</f>
      </c>
      <c r="J39" s="60">
        <v>0</v>
      </c>
      <c r="K39" s="67">
        <f>SUM(J39*C39)</f>
      </c>
      <c r="L39" s="60">
        <v>0</v>
      </c>
      <c r="M39" s="68">
        <f>SUM(L39*C39)</f>
      </c>
      <c r="N39" s="15"/>
      <c r="O39" s="64" t="inlineStr">
        <is>
          <t xml:space="preserve"/>
        </is>
      </c>
      <c r="P39" s="65"/>
      <c r="Q39" s="65"/>
      <c r="R39" s="65"/>
      <c r="S39" s="66"/>
      <c r="T39" s="15"/>
      <c r="U39" s="15"/>
    </row>
    <row r="40" spans="1:21" ht="15" customHeight="1" x14ac:dyDescent="0.2">
      <c r="A40" s="63" t="inlineStr">
        <is>
          <t xml:space="preserve"/>
        </is>
      </c>
      <c r="B40" s="58" t="inlineStr">
        <is>
          <t xml:space="preserve">-</t>
        </is>
      </c>
      <c r="C40" s="59">
        <v>0</v>
      </c>
      <c r="D40" s="60">
        <v>0</v>
      </c>
      <c r="E40" s="67">
        <f>SUM(C40*D40)</f>
      </c>
      <c r="F40" s="60">
        <v>0</v>
      </c>
      <c r="G40" s="61">
        <f>F40*C40</f>
      </c>
      <c r="H40" s="60">
        <v>0</v>
      </c>
      <c r="I40" s="67">
        <f>SUM(H40*C40)</f>
      </c>
      <c r="J40" s="60">
        <v>0</v>
      </c>
      <c r="K40" s="67">
        <f>SUM(J40*C40)</f>
      </c>
      <c r="L40" s="60">
        <v>0</v>
      </c>
      <c r="M40" s="68">
        <f>SUM(L40*C40)</f>
      </c>
      <c r="N40" s="15"/>
      <c r="O40" s="64" t="inlineStr">
        <is>
          <t xml:space="preserve"/>
        </is>
      </c>
      <c r="P40" s="65"/>
      <c r="Q40" s="65"/>
      <c r="R40" s="65"/>
      <c r="S40" s="66"/>
      <c r="T40" s="15"/>
      <c r="U40" s="15"/>
    </row>
    <row r="41" spans="1:21" ht="15" customHeight="1" x14ac:dyDescent="0.2">
      <c r="A41" s="63" t="inlineStr">
        <is>
          <t xml:space="preserve"/>
        </is>
      </c>
      <c r="B41" s="58" t="inlineStr">
        <is>
          <t xml:space="preserve">-</t>
        </is>
      </c>
      <c r="C41" s="59">
        <v>0</v>
      </c>
      <c r="D41" s="60">
        <v>0</v>
      </c>
      <c r="E41" s="67">
        <f>SUM(C41*D41)</f>
      </c>
      <c r="F41" s="60">
        <v>0</v>
      </c>
      <c r="G41" s="61">
        <f>F41*C41</f>
      </c>
      <c r="H41" s="60">
        <v>0</v>
      </c>
      <c r="I41" s="67">
        <f>SUM(H41*C41)</f>
      </c>
      <c r="J41" s="60">
        <v>0</v>
      </c>
      <c r="K41" s="67">
        <f>SUM(J41*C41)</f>
      </c>
      <c r="L41" s="60">
        <v>0</v>
      </c>
      <c r="M41" s="68">
        <f>SUM(L41*C41)</f>
      </c>
      <c r="N41" s="15"/>
      <c r="O41" s="64" t="inlineStr">
        <is>
          <t xml:space="preserve"/>
        </is>
      </c>
      <c r="P41" s="65"/>
      <c r="Q41" s="65"/>
      <c r="R41" s="65"/>
      <c r="S41" s="66"/>
      <c r="T41" s="15"/>
      <c r="U41" s="15"/>
    </row>
    <row r="42" spans="1:21" ht="15" customHeight="1" x14ac:dyDescent="0.2">
      <c r="A42" s="57" t="inlineStr">
        <is>
          <t xml:space="preserve"/>
        </is>
      </c>
      <c r="B42" s="58" t="inlineStr">
        <is>
          <t xml:space="preserve">-</t>
        </is>
      </c>
      <c r="C42" s="59">
        <v>0</v>
      </c>
      <c r="D42" s="60">
        <v>0</v>
      </c>
      <c r="E42" s="67">
        <f>SUM(C42*D42)</f>
      </c>
      <c r="F42" s="60">
        <v>0</v>
      </c>
      <c r="G42" s="61">
        <f>F42*C42</f>
      </c>
      <c r="H42" s="60">
        <v>0</v>
      </c>
      <c r="I42" s="67">
        <f>SUM(H42*C42)</f>
      </c>
      <c r="J42" s="60">
        <v>0</v>
      </c>
      <c r="K42" s="67">
        <f>SUM(J42*C42)</f>
      </c>
      <c r="L42" s="60">
        <v>0</v>
      </c>
      <c r="M42" s="68">
        <f>SUM(L42*C42)</f>
      </c>
      <c r="N42" s="15"/>
      <c r="O42" s="64" t="inlineStr">
        <is>
          <t xml:space="preserve"/>
        </is>
      </c>
      <c r="P42" s="65"/>
      <c r="Q42" s="65"/>
      <c r="R42" s="65"/>
      <c r="S42" s="66"/>
      <c r="T42" s="15"/>
      <c r="U42" s="15"/>
    </row>
    <row r="43" spans="1:21" ht="15" customHeight="1" x14ac:dyDescent="0.2">
      <c r="A43" s="63" t="inlineStr">
        <is>
          <t xml:space="preserve"/>
        </is>
      </c>
      <c r="B43" s="58" t="inlineStr">
        <is>
          <t xml:space="preserve">-</t>
        </is>
      </c>
      <c r="C43" s="59">
        <v>0</v>
      </c>
      <c r="D43" s="60">
        <v>0</v>
      </c>
      <c r="E43" s="67">
        <f>SUM(C43*D43)</f>
      </c>
      <c r="F43" s="60">
        <v>0</v>
      </c>
      <c r="G43" s="61">
        <f>F43*C43</f>
      </c>
      <c r="H43" s="60">
        <v>0</v>
      </c>
      <c r="I43" s="67">
        <f>SUM(H43*C43)</f>
      </c>
      <c r="J43" s="60">
        <v>0</v>
      </c>
      <c r="K43" s="67">
        <f>SUM(J43*C43)</f>
      </c>
      <c r="L43" s="60">
        <v>0</v>
      </c>
      <c r="M43" s="68">
        <f>SUM(L43*C43)</f>
      </c>
      <c r="N43" s="15"/>
      <c r="O43" s="64" t="inlineStr">
        <is>
          <t xml:space="preserve"/>
        </is>
      </c>
      <c r="P43" s="65"/>
      <c r="Q43" s="65"/>
      <c r="R43" s="65"/>
      <c r="S43" s="66"/>
      <c r="T43" s="15"/>
      <c r="U43" s="15"/>
    </row>
    <row r="44" spans="1:21" ht="15" customHeight="1" x14ac:dyDescent="0.2">
      <c r="A44" s="63" t="inlineStr">
        <is>
          <t xml:space="preserve"/>
        </is>
      </c>
      <c r="B44" s="58" t="inlineStr">
        <is>
          <t xml:space="preserve">-</t>
        </is>
      </c>
      <c r="C44" s="59">
        <v>0</v>
      </c>
      <c r="D44" s="60">
        <v>0</v>
      </c>
      <c r="E44" s="67">
        <f>SUM(C44*D44)</f>
      </c>
      <c r="F44" s="60">
        <v>0</v>
      </c>
      <c r="G44" s="61">
        <f>F44*C44</f>
      </c>
      <c r="H44" s="60">
        <v>0</v>
      </c>
      <c r="I44" s="67">
        <f>SUM(H44*C44)</f>
      </c>
      <c r="J44" s="60">
        <v>0</v>
      </c>
      <c r="K44" s="67">
        <f>SUM(J44*C44)</f>
      </c>
      <c r="L44" s="60">
        <v>0</v>
      </c>
      <c r="M44" s="68">
        <f>SUM(L44*C44)</f>
      </c>
      <c r="N44" s="15"/>
      <c r="O44" s="64" t="inlineStr">
        <is>
          <t xml:space="preserve"/>
        </is>
      </c>
      <c r="P44" s="65"/>
      <c r="Q44" s="65"/>
      <c r="R44" s="65"/>
      <c r="S44" s="66"/>
      <c r="T44" s="15"/>
      <c r="U44" s="15"/>
    </row>
    <row r="45" spans="1:21" ht="15" customHeight="1" x14ac:dyDescent="0.2">
      <c r="A45" s="63" t="inlineStr">
        <is>
          <t xml:space="preserve"/>
        </is>
      </c>
      <c r="B45" s="58" t="inlineStr">
        <is>
          <t xml:space="preserve">-</t>
        </is>
      </c>
      <c r="C45" s="59">
        <v>0</v>
      </c>
      <c r="D45" s="60">
        <v>0</v>
      </c>
      <c r="E45" s="67">
        <f>SUM(C45*D45)</f>
      </c>
      <c r="F45" s="60">
        <v>0</v>
      </c>
      <c r="G45" s="61">
        <f>F45*C45</f>
      </c>
      <c r="H45" s="60">
        <v>0</v>
      </c>
      <c r="I45" s="67">
        <f>SUM(H45*C45)</f>
      </c>
      <c r="J45" s="60">
        <v>0</v>
      </c>
      <c r="K45" s="67">
        <f>SUM(J45*C45)</f>
      </c>
      <c r="L45" s="60">
        <v>0</v>
      </c>
      <c r="M45" s="68">
        <f>SUM(L45*C45)</f>
      </c>
      <c r="N45" s="15"/>
      <c r="O45" s="64" t="inlineStr">
        <is>
          <t xml:space="preserve"/>
        </is>
      </c>
      <c r="P45" s="65"/>
      <c r="Q45" s="65"/>
      <c r="R45" s="65"/>
      <c r="S45" s="66"/>
      <c r="T45" s="15"/>
      <c r="U45" s="15"/>
    </row>
    <row r="46" spans="1:21" ht="15" customHeight="1" x14ac:dyDescent="0.2">
      <c r="A46" s="63" t="inlineStr">
        <is>
          <t xml:space="preserve"/>
        </is>
      </c>
      <c r="B46" s="58" t="inlineStr">
        <is>
          <t xml:space="preserve">-</t>
        </is>
      </c>
      <c r="C46" s="59">
        <v>0</v>
      </c>
      <c r="D46" s="60">
        <v>0</v>
      </c>
      <c r="E46" s="67">
        <f>SUM(C46*D46)</f>
      </c>
      <c r="F46" s="60">
        <v>0</v>
      </c>
      <c r="G46" s="61">
        <f>F46*C46</f>
      </c>
      <c r="H46" s="60">
        <v>0</v>
      </c>
      <c r="I46" s="67">
        <f>SUM(H46*C46)</f>
      </c>
      <c r="J46" s="60">
        <v>0</v>
      </c>
      <c r="K46" s="67">
        <f>SUM(J46*C46)</f>
      </c>
      <c r="L46" s="60">
        <v>0</v>
      </c>
      <c r="M46" s="68">
        <f>SUM(L46*C46)</f>
      </c>
      <c r="N46" s="15"/>
      <c r="O46" s="64" t="inlineStr">
        <is>
          <t xml:space="preserve"/>
        </is>
      </c>
      <c r="P46" s="65"/>
      <c r="Q46" s="65"/>
      <c r="R46" s="65"/>
      <c r="S46" s="66"/>
      <c r="T46" s="15"/>
      <c r="U46" s="15"/>
    </row>
    <row r="47" spans="1:21" ht="15" customHeight="1" x14ac:dyDescent="0.2">
      <c r="A47" s="57" t="inlineStr">
        <is>
          <t xml:space="preserve"/>
        </is>
      </c>
      <c r="B47" s="58" t="inlineStr">
        <is>
          <t xml:space="preserve">-</t>
        </is>
      </c>
      <c r="C47" s="59">
        <v>0</v>
      </c>
      <c r="D47" s="60">
        <v>0</v>
      </c>
      <c r="E47" s="67">
        <f>SUM(C47*D47)</f>
      </c>
      <c r="F47" s="60">
        <v>0</v>
      </c>
      <c r="G47" s="61">
        <f>F47*C47</f>
      </c>
      <c r="H47" s="60">
        <v>0</v>
      </c>
      <c r="I47" s="67">
        <f>SUM(H47*C47)</f>
      </c>
      <c r="J47" s="60">
        <v>0</v>
      </c>
      <c r="K47" s="67">
        <f>SUM(J47*C47)</f>
      </c>
      <c r="L47" s="60">
        <v>0</v>
      </c>
      <c r="M47" s="68">
        <f>SUM(L47*C47)</f>
      </c>
      <c r="N47" s="15"/>
      <c r="O47" s="64" t="inlineStr">
        <is>
          <t xml:space="preserve"/>
        </is>
      </c>
      <c r="P47" s="65"/>
      <c r="Q47" s="65"/>
      <c r="R47" s="65"/>
      <c r="S47" s="66"/>
      <c r="T47" s="15"/>
      <c r="U47" s="15"/>
    </row>
    <row r="48" spans="1:21" ht="15" customHeight="1" x14ac:dyDescent="0.2">
      <c r="A48" s="63" t="inlineStr">
        <is>
          <t xml:space="preserve"/>
        </is>
      </c>
      <c r="B48" s="58" t="inlineStr">
        <is>
          <t xml:space="preserve">-</t>
        </is>
      </c>
      <c r="C48" s="59">
        <v>0</v>
      </c>
      <c r="D48" s="60">
        <v>0</v>
      </c>
      <c r="E48" s="67">
        <f>SUM(C48*D48)</f>
      </c>
      <c r="F48" s="60">
        <v>0</v>
      </c>
      <c r="G48" s="61">
        <f>F48*C48</f>
      </c>
      <c r="H48" s="60">
        <v>0</v>
      </c>
      <c r="I48" s="67">
        <f>SUM(H48*C48)</f>
      </c>
      <c r="J48" s="60">
        <v>0</v>
      </c>
      <c r="K48" s="67">
        <f>SUM(J48*C48)</f>
      </c>
      <c r="L48" s="60">
        <v>0</v>
      </c>
      <c r="M48" s="68">
        <f>SUM(L48*C48)</f>
      </c>
      <c r="N48" s="15"/>
      <c r="O48" s="64" t="inlineStr">
        <is>
          <t xml:space="preserve"/>
        </is>
      </c>
      <c r="P48" s="65"/>
      <c r="Q48" s="65"/>
      <c r="R48" s="65"/>
      <c r="S48" s="66"/>
      <c r="T48" s="15"/>
      <c r="U48" s="15"/>
    </row>
    <row r="49" spans="1:21" ht="15" customHeight="1" x14ac:dyDescent="0.2">
      <c r="A49" s="63" t="inlineStr">
        <is>
          <t xml:space="preserve"/>
        </is>
      </c>
      <c r="B49" s="58" t="inlineStr">
        <is>
          <t xml:space="preserve">-</t>
        </is>
      </c>
      <c r="C49" s="59">
        <v>0</v>
      </c>
      <c r="D49" s="60">
        <v>0</v>
      </c>
      <c r="E49" s="67">
        <f>SUM(C49*D49)</f>
      </c>
      <c r="F49" s="60">
        <v>0</v>
      </c>
      <c r="G49" s="61">
        <f>F49*C49</f>
      </c>
      <c r="H49" s="60">
        <v>0</v>
      </c>
      <c r="I49" s="67">
        <f>SUM(H49*C49)</f>
      </c>
      <c r="J49" s="60">
        <v>0</v>
      </c>
      <c r="K49" s="67">
        <f>SUM(J49*C49)</f>
      </c>
      <c r="L49" s="60">
        <v>0</v>
      </c>
      <c r="M49" s="68">
        <f>SUM(L49*C49)</f>
      </c>
      <c r="N49" s="15"/>
      <c r="O49" s="64" t="inlineStr">
        <is>
          <t xml:space="preserve"/>
        </is>
      </c>
      <c r="P49" s="65"/>
      <c r="Q49" s="65"/>
      <c r="R49" s="65"/>
      <c r="S49" s="66"/>
      <c r="T49" s="15"/>
      <c r="U49" s="15"/>
    </row>
    <row r="50" spans="1:21" ht="15" customHeight="1" x14ac:dyDescent="0.2">
      <c r="A50" s="63" t="inlineStr">
        <is>
          <t xml:space="preserve"/>
        </is>
      </c>
      <c r="B50" s="58" t="inlineStr">
        <is>
          <t xml:space="preserve">-</t>
        </is>
      </c>
      <c r="C50" s="59">
        <v>0</v>
      </c>
      <c r="D50" s="60">
        <v>0</v>
      </c>
      <c r="E50" s="67">
        <f>SUM(C50*D50)</f>
      </c>
      <c r="F50" s="60">
        <v>0</v>
      </c>
      <c r="G50" s="61">
        <f>F50*C50</f>
      </c>
      <c r="H50" s="60">
        <v>0</v>
      </c>
      <c r="I50" s="67">
        <f>SUM(H50*C50)</f>
      </c>
      <c r="J50" s="60">
        <v>0</v>
      </c>
      <c r="K50" s="67">
        <f>SUM(J50*C50)</f>
      </c>
      <c r="L50" s="60">
        <v>0</v>
      </c>
      <c r="M50" s="68">
        <f>SUM(L50*C50)</f>
      </c>
      <c r="N50" s="15"/>
      <c r="O50" s="64" t="inlineStr">
        <is>
          <t xml:space="preserve"/>
        </is>
      </c>
      <c r="P50" s="65"/>
      <c r="Q50" s="65"/>
      <c r="R50" s="65"/>
      <c r="S50" s="66"/>
      <c r="T50" s="15"/>
      <c r="U50" s="15"/>
    </row>
    <row r="51" spans="1:21" ht="15" customHeight="1" x14ac:dyDescent="0.2">
      <c r="A51" s="57" t="inlineStr">
        <is>
          <t xml:space="preserve"/>
        </is>
      </c>
      <c r="B51" s="58" t="inlineStr">
        <is>
          <t xml:space="preserve">-</t>
        </is>
      </c>
      <c r="C51" s="59">
        <v>0</v>
      </c>
      <c r="D51" s="60">
        <v>0</v>
      </c>
      <c r="E51" s="67">
        <f>SUM(C51*D51)</f>
      </c>
      <c r="F51" s="60">
        <v>0</v>
      </c>
      <c r="G51" s="61">
        <f>F51*C51</f>
      </c>
      <c r="H51" s="60">
        <v>0</v>
      </c>
      <c r="I51" s="67">
        <f>SUM(H51*C51)</f>
      </c>
      <c r="J51" s="60">
        <v>0</v>
      </c>
      <c r="K51" s="67">
        <f>SUM(J51*C51)</f>
      </c>
      <c r="L51" s="60">
        <v>0</v>
      </c>
      <c r="M51" s="68">
        <f>SUM(L51*C51)</f>
      </c>
      <c r="N51" s="15"/>
      <c r="O51" s="64" t="inlineStr">
        <is>
          <t xml:space="preserve"/>
        </is>
      </c>
      <c r="P51" s="65"/>
      <c r="Q51" s="65"/>
      <c r="R51" s="65"/>
      <c r="S51" s="66"/>
      <c r="T51" s="15"/>
      <c r="U51" s="15"/>
    </row>
    <row r="52" spans="1:21" ht="15" customHeight="1" x14ac:dyDescent="0.2">
      <c r="A52" s="63" t="inlineStr">
        <is>
          <t xml:space="preserve"/>
        </is>
      </c>
      <c r="B52" s="58" t="inlineStr">
        <is>
          <t xml:space="preserve">-</t>
        </is>
      </c>
      <c r="C52" s="59">
        <v>0</v>
      </c>
      <c r="D52" s="60">
        <v>0</v>
      </c>
      <c r="E52" s="67">
        <f>SUM(C52*D52)</f>
      </c>
      <c r="F52" s="60">
        <v>0</v>
      </c>
      <c r="G52" s="61">
        <f>F52*C52</f>
      </c>
      <c r="H52" s="60">
        <v>0</v>
      </c>
      <c r="I52" s="67">
        <f>SUM(H52*C52)</f>
      </c>
      <c r="J52" s="60">
        <v>0</v>
      </c>
      <c r="K52" s="67">
        <f>SUM(J52*C52)</f>
      </c>
      <c r="L52" s="60">
        <v>0</v>
      </c>
      <c r="M52" s="68">
        <f>SUM(L52*C52)</f>
      </c>
      <c r="N52" s="15"/>
      <c r="O52" s="64" t="inlineStr">
        <is>
          <t xml:space="preserve"/>
        </is>
      </c>
      <c r="P52" s="65"/>
      <c r="Q52" s="65"/>
      <c r="R52" s="65"/>
      <c r="S52" s="66"/>
      <c r="T52" s="15"/>
      <c r="U52" s="15"/>
    </row>
    <row r="53" spans="1:21" ht="15" customHeight="1" x14ac:dyDescent="0.2">
      <c r="A53" s="63" t="inlineStr">
        <is>
          <t xml:space="preserve"/>
        </is>
      </c>
      <c r="B53" s="58" t="inlineStr">
        <is>
          <t xml:space="preserve">-</t>
        </is>
      </c>
      <c r="C53" s="59">
        <v>0</v>
      </c>
      <c r="D53" s="60">
        <v>0</v>
      </c>
      <c r="E53" s="67">
        <f>SUM(C53*D53)</f>
      </c>
      <c r="F53" s="60">
        <v>0</v>
      </c>
      <c r="G53" s="61">
        <f>F53*C53</f>
      </c>
      <c r="H53" s="60">
        <v>0</v>
      </c>
      <c r="I53" s="67">
        <f>SUM(H53*C53)</f>
      </c>
      <c r="J53" s="60">
        <v>0</v>
      </c>
      <c r="K53" s="67">
        <f>SUM(J53*C53)</f>
      </c>
      <c r="L53" s="60">
        <v>0</v>
      </c>
      <c r="M53" s="68">
        <f>SUM(L53*C53)</f>
      </c>
      <c r="N53" s="15"/>
      <c r="O53" s="64" t="inlineStr">
        <is>
          <t xml:space="preserve"/>
        </is>
      </c>
      <c r="P53" s="65"/>
      <c r="Q53" s="65"/>
      <c r="R53" s="65"/>
      <c r="S53" s="66"/>
      <c r="T53" s="15"/>
      <c r="U53" s="15"/>
    </row>
    <row r="54" spans="1:21" ht="15" customHeight="1" x14ac:dyDescent="0.2">
      <c r="A54" s="63" t="inlineStr">
        <is>
          <t xml:space="preserve"/>
        </is>
      </c>
      <c r="B54" s="58" t="inlineStr">
        <is>
          <t xml:space="preserve">-</t>
        </is>
      </c>
      <c r="C54" s="59">
        <v>0</v>
      </c>
      <c r="D54" s="60">
        <v>0</v>
      </c>
      <c r="E54" s="67">
        <f>SUM(C54*D54)</f>
      </c>
      <c r="F54" s="60">
        <v>0</v>
      </c>
      <c r="G54" s="61">
        <f>F54*C54</f>
      </c>
      <c r="H54" s="60">
        <v>0</v>
      </c>
      <c r="I54" s="67">
        <f>SUM(H54*C54)</f>
      </c>
      <c r="J54" s="60">
        <v>0</v>
      </c>
      <c r="K54" s="67">
        <f>SUM(J54*C54)</f>
      </c>
      <c r="L54" s="60">
        <v>0</v>
      </c>
      <c r="M54" s="68">
        <f>SUM(L54*C54)</f>
      </c>
      <c r="N54" s="15"/>
      <c r="O54" s="64" t="inlineStr">
        <is>
          <t xml:space="preserve"/>
        </is>
      </c>
      <c r="P54" s="65"/>
      <c r="Q54" s="65"/>
      <c r="R54" s="65"/>
      <c r="S54" s="66"/>
      <c r="T54" s="15"/>
      <c r="U54" s="15"/>
    </row>
    <row r="55" spans="1:21" ht="15" customHeight="1" x14ac:dyDescent="0.2">
      <c r="A55" s="63" t="inlineStr">
        <is>
          <t xml:space="preserve"/>
        </is>
      </c>
      <c r="B55" s="58" t="inlineStr">
        <is>
          <t xml:space="preserve">-</t>
        </is>
      </c>
      <c r="C55" s="59">
        <v>0</v>
      </c>
      <c r="D55" s="60">
        <v>0</v>
      </c>
      <c r="E55" s="67">
        <f>SUM(C55*D55)</f>
      </c>
      <c r="F55" s="60">
        <v>0</v>
      </c>
      <c r="G55" s="61">
        <f>F55*C55</f>
      </c>
      <c r="H55" s="60">
        <v>0</v>
      </c>
      <c r="I55" s="67">
        <f>SUM(H55*C55)</f>
      </c>
      <c r="J55" s="60">
        <v>0</v>
      </c>
      <c r="K55" s="67">
        <f>SUM(J55*C55)</f>
      </c>
      <c r="L55" s="60">
        <v>0</v>
      </c>
      <c r="M55" s="68">
        <f>SUM(L55*C55)</f>
      </c>
      <c r="N55" s="15"/>
      <c r="O55" s="64" t="inlineStr">
        <is>
          <t xml:space="preserve"/>
        </is>
      </c>
      <c r="P55" s="65"/>
      <c r="Q55" s="65"/>
      <c r="R55" s="65"/>
      <c r="S55" s="66"/>
      <c r="T55" s="15"/>
      <c r="U55" s="15"/>
    </row>
    <row r="56" spans="1:21" ht="15" customHeight="1" x14ac:dyDescent="0.2">
      <c r="A56" s="63" t="inlineStr">
        <is>
          <t xml:space="preserve"/>
        </is>
      </c>
      <c r="B56" s="58" t="inlineStr">
        <is>
          <t xml:space="preserve">-</t>
        </is>
      </c>
      <c r="C56" s="59">
        <v>0</v>
      </c>
      <c r="D56" s="60">
        <v>0</v>
      </c>
      <c r="E56" s="67">
        <f>SUM(C56*D56)</f>
      </c>
      <c r="F56" s="60">
        <v>0</v>
      </c>
      <c r="G56" s="61">
        <f>F56*C56</f>
      </c>
      <c r="H56" s="60">
        <v>0</v>
      </c>
      <c r="I56" s="67">
        <f>SUM(H56*C56)</f>
      </c>
      <c r="J56" s="60">
        <v>0</v>
      </c>
      <c r="K56" s="67">
        <f>SUM(J56*C56)</f>
      </c>
      <c r="L56" s="60">
        <v>0</v>
      </c>
      <c r="M56" s="68">
        <f>SUM(L56*C56)</f>
      </c>
      <c r="N56" s="15"/>
      <c r="O56" s="64" t="inlineStr">
        <is>
          <t xml:space="preserve"/>
        </is>
      </c>
      <c r="P56" s="65"/>
      <c r="Q56" s="65"/>
      <c r="R56" s="65"/>
      <c r="S56" s="66"/>
      <c r="T56" s="15"/>
      <c r="U56" s="15"/>
    </row>
    <row r="57" spans="1:21" ht="15" customHeight="1" x14ac:dyDescent="0.2">
      <c r="A57" s="63" t="inlineStr">
        <is>
          <t xml:space="preserve"/>
        </is>
      </c>
      <c r="B57" s="58" t="inlineStr">
        <is>
          <t xml:space="preserve">-</t>
        </is>
      </c>
      <c r="C57" s="59">
        <v>0</v>
      </c>
      <c r="D57" s="60">
        <v>0</v>
      </c>
      <c r="E57" s="67">
        <f>SUM(C57*D57)</f>
      </c>
      <c r="F57" s="60">
        <v>0</v>
      </c>
      <c r="G57" s="61">
        <f>F57*C57</f>
      </c>
      <c r="H57" s="60">
        <v>0</v>
      </c>
      <c r="I57" s="67">
        <f>SUM(H57*C57)</f>
      </c>
      <c r="J57" s="60">
        <v>0</v>
      </c>
      <c r="K57" s="67">
        <f>SUM(J57*C57)</f>
      </c>
      <c r="L57" s="60">
        <v>0</v>
      </c>
      <c r="M57" s="68">
        <f>SUM(L57*C57)</f>
      </c>
      <c r="N57" s="15"/>
      <c r="O57" s="64" t="inlineStr">
        <is>
          <t xml:space="preserve"/>
        </is>
      </c>
      <c r="P57" s="65"/>
      <c r="Q57" s="65"/>
      <c r="R57" s="65"/>
      <c r="S57" s="66"/>
      <c r="T57" s="15"/>
      <c r="U57" s="15"/>
    </row>
    <row r="58" spans="1:21" ht="15" customHeight="1" x14ac:dyDescent="0.2">
      <c r="A58" s="63" t="inlineStr">
        <is>
          <t xml:space="preserve"/>
        </is>
      </c>
      <c r="B58" s="58" t="inlineStr">
        <is>
          <t xml:space="preserve">-</t>
        </is>
      </c>
      <c r="C58" s="59">
        <v>0</v>
      </c>
      <c r="D58" s="60">
        <v>0</v>
      </c>
      <c r="E58" s="67">
        <f>SUM(C58*D58)</f>
      </c>
      <c r="F58" s="60">
        <v>0</v>
      </c>
      <c r="G58" s="61">
        <f>F58*C58</f>
      </c>
      <c r="H58" s="60">
        <v>0</v>
      </c>
      <c r="I58" s="67">
        <f>SUM(H58*C58)</f>
      </c>
      <c r="J58" s="60">
        <v>0</v>
      </c>
      <c r="K58" s="67">
        <f>SUM(J58*C58)</f>
      </c>
      <c r="L58" s="60">
        <v>0</v>
      </c>
      <c r="M58" s="68">
        <f>SUM(L58*C58)</f>
      </c>
      <c r="N58" s="15"/>
      <c r="O58" s="64" t="inlineStr">
        <is>
          <t xml:space="preserve"/>
        </is>
      </c>
      <c r="P58" s="65"/>
      <c r="Q58" s="65"/>
      <c r="R58" s="65"/>
      <c r="S58" s="66"/>
      <c r="T58" s="15"/>
      <c r="U58" s="15"/>
    </row>
    <row r="59" spans="1:21" ht="15" customHeight="1" x14ac:dyDescent="0.2">
      <c r="A59" s="63" t="inlineStr">
        <is>
          <t xml:space="preserve"/>
        </is>
      </c>
      <c r="B59" s="58" t="inlineStr">
        <is>
          <t xml:space="preserve">-</t>
        </is>
      </c>
      <c r="C59" s="59">
        <v>0</v>
      </c>
      <c r="D59" s="60">
        <v>0</v>
      </c>
      <c r="E59" s="67">
        <f>SUM(C59*D59)</f>
      </c>
      <c r="F59" s="60">
        <v>0</v>
      </c>
      <c r="G59" s="61">
        <f>F59*C59</f>
      </c>
      <c r="H59" s="60">
        <v>0</v>
      </c>
      <c r="I59" s="67">
        <f>SUM(H59*C59)</f>
      </c>
      <c r="J59" s="60">
        <v>0</v>
      </c>
      <c r="K59" s="67">
        <f>SUM(J59*C59)</f>
      </c>
      <c r="L59" s="60">
        <v>0</v>
      </c>
      <c r="M59" s="68">
        <f>SUM(L59*C59)</f>
      </c>
      <c r="N59" s="15"/>
      <c r="O59" s="64" t="inlineStr">
        <is>
          <t xml:space="preserve"/>
        </is>
      </c>
      <c r="P59" s="65"/>
      <c r="Q59" s="65"/>
      <c r="R59" s="65"/>
      <c r="S59" s="66"/>
      <c r="T59" s="15"/>
      <c r="U59" s="15"/>
    </row>
    <row r="60" spans="1:21" ht="15" customHeight="1" x14ac:dyDescent="0.2">
      <c r="A60" s="63" t="inlineStr">
        <is>
          <t xml:space="preserve"/>
        </is>
      </c>
      <c r="B60" s="58" t="inlineStr">
        <is>
          <t xml:space="preserve">-</t>
        </is>
      </c>
      <c r="C60" s="59">
        <v>0</v>
      </c>
      <c r="D60" s="60">
        <v>0</v>
      </c>
      <c r="E60" s="67">
        <f>SUM(C60*D60)</f>
      </c>
      <c r="F60" s="60">
        <v>0</v>
      </c>
      <c r="G60" s="61">
        <f>F60*C60</f>
      </c>
      <c r="H60" s="60">
        <v>0</v>
      </c>
      <c r="I60" s="67">
        <f>SUM(H60*C60)</f>
      </c>
      <c r="J60" s="60">
        <v>0</v>
      </c>
      <c r="K60" s="67">
        <f>SUM(J60*C60)</f>
      </c>
      <c r="L60" s="60">
        <v>0</v>
      </c>
      <c r="M60" s="68">
        <f>SUM(L60*C60)</f>
      </c>
      <c r="N60" s="15"/>
      <c r="O60" s="64" t="inlineStr">
        <is>
          <t xml:space="preserve"/>
        </is>
      </c>
      <c r="P60" s="65"/>
      <c r="Q60" s="65"/>
      <c r="R60" s="65"/>
      <c r="S60" s="66"/>
      <c r="T60" s="15"/>
      <c r="U60" s="15"/>
    </row>
    <row r="61" spans="1:21" ht="15" customHeight="1" x14ac:dyDescent="0.2">
      <c r="A61" s="63" t="inlineStr">
        <is>
          <t xml:space="preserve"/>
        </is>
      </c>
      <c r="B61" s="58" t="inlineStr">
        <is>
          <t xml:space="preserve">-</t>
        </is>
      </c>
      <c r="C61" s="59">
        <v>0</v>
      </c>
      <c r="D61" s="60">
        <v>0</v>
      </c>
      <c r="E61" s="67">
        <f>SUM(C61*D61)</f>
      </c>
      <c r="F61" s="60">
        <v>0</v>
      </c>
      <c r="G61" s="61">
        <f>F61*C61</f>
      </c>
      <c r="H61" s="60">
        <v>0</v>
      </c>
      <c r="I61" s="67">
        <f>SUM(H61*C61)</f>
      </c>
      <c r="J61" s="60">
        <v>0</v>
      </c>
      <c r="K61" s="67">
        <f>SUM(J61*C61)</f>
      </c>
      <c r="L61" s="60">
        <v>0</v>
      </c>
      <c r="M61" s="68">
        <f>SUM(L61*C61)</f>
      </c>
      <c r="N61" s="15"/>
      <c r="O61" s="64" t="inlineStr">
        <is>
          <t xml:space="preserve"/>
        </is>
      </c>
      <c r="P61" s="65"/>
      <c r="Q61" s="65"/>
      <c r="R61" s="65"/>
      <c r="S61" s="66"/>
      <c r="T61" s="15"/>
      <c r="U61" s="15"/>
    </row>
    <row r="62" spans="1:21" ht="15" customHeight="1" x14ac:dyDescent="0.2">
      <c r="A62" s="63" t="inlineStr">
        <is>
          <t xml:space="preserve"/>
        </is>
      </c>
      <c r="B62" s="58" t="inlineStr">
        <is>
          <t xml:space="preserve">-</t>
        </is>
      </c>
      <c r="C62" s="59">
        <v>0</v>
      </c>
      <c r="D62" s="60">
        <v>0</v>
      </c>
      <c r="E62" s="67">
        <f>SUM(C62*D62)</f>
      </c>
      <c r="F62" s="60">
        <v>0</v>
      </c>
      <c r="G62" s="61">
        <f>F62*C62</f>
      </c>
      <c r="H62" s="60">
        <v>0</v>
      </c>
      <c r="I62" s="67">
        <f>SUM(H62*C62)</f>
      </c>
      <c r="J62" s="60">
        <v>0</v>
      </c>
      <c r="K62" s="67">
        <f>SUM(J62*C62)</f>
      </c>
      <c r="L62" s="60">
        <v>0</v>
      </c>
      <c r="M62" s="68">
        <f>SUM(L62*C62)</f>
      </c>
      <c r="N62" s="15"/>
      <c r="O62" s="64" t="inlineStr">
        <is>
          <t xml:space="preserve"/>
        </is>
      </c>
      <c r="P62" s="65"/>
      <c r="Q62" s="65"/>
      <c r="R62" s="65"/>
      <c r="S62" s="66"/>
      <c r="T62" s="15"/>
      <c r="U62" s="15"/>
    </row>
    <row r="63" spans="1:21" ht="15" customHeight="1" x14ac:dyDescent="0.2">
      <c r="A63" s="63" t="inlineStr">
        <is>
          <t xml:space="preserve"/>
        </is>
      </c>
      <c r="B63" s="58" t="inlineStr">
        <is>
          <t xml:space="preserve">-</t>
        </is>
      </c>
      <c r="C63" s="59">
        <v>0</v>
      </c>
      <c r="D63" s="60">
        <v>0</v>
      </c>
      <c r="E63" s="67">
        <f>SUM(C63*D63)</f>
      </c>
      <c r="F63" s="60">
        <v>0</v>
      </c>
      <c r="G63" s="61">
        <f>F63*C63</f>
      </c>
      <c r="H63" s="60">
        <v>0</v>
      </c>
      <c r="I63" s="67">
        <f>SUM(H63*C63)</f>
      </c>
      <c r="J63" s="60">
        <v>0</v>
      </c>
      <c r="K63" s="67">
        <f>SUM(J63*C63)</f>
      </c>
      <c r="L63" s="60">
        <v>0</v>
      </c>
      <c r="M63" s="68">
        <f>SUM(L63*C63)</f>
      </c>
      <c r="N63" s="15"/>
      <c r="O63" s="64" t="inlineStr">
        <is>
          <t xml:space="preserve"/>
        </is>
      </c>
      <c r="P63" s="65"/>
      <c r="Q63" s="65"/>
      <c r="R63" s="65"/>
      <c r="S63" s="66"/>
      <c r="T63" s="15"/>
      <c r="U63" s="15"/>
    </row>
    <row r="64" spans="1:21" ht="15" customHeight="1" x14ac:dyDescent="0.2">
      <c r="A64" s="63" t="inlineStr">
        <is>
          <t xml:space="preserve"/>
        </is>
      </c>
      <c r="B64" s="58" t="inlineStr">
        <is>
          <t xml:space="preserve">-</t>
        </is>
      </c>
      <c r="C64" s="59">
        <v>0</v>
      </c>
      <c r="D64" s="60">
        <v>0</v>
      </c>
      <c r="E64" s="67">
        <f>SUM(C64*D64)</f>
      </c>
      <c r="F64" s="60">
        <v>0</v>
      </c>
      <c r="G64" s="61">
        <f>F64*C64</f>
      </c>
      <c r="H64" s="60">
        <v>0</v>
      </c>
      <c r="I64" s="67">
        <f>SUM(H64*C64)</f>
      </c>
      <c r="J64" s="60">
        <v>0</v>
      </c>
      <c r="K64" s="67">
        <f>SUM(J64*C64)</f>
      </c>
      <c r="L64" s="60">
        <v>0</v>
      </c>
      <c r="M64" s="68">
        <f>SUM(L64*C64)</f>
      </c>
      <c r="N64" s="15"/>
      <c r="O64" s="64" t="inlineStr">
        <is>
          <t xml:space="preserve"/>
        </is>
      </c>
      <c r="P64" s="65"/>
      <c r="Q64" s="65"/>
      <c r="R64" s="65"/>
      <c r="S64" s="66"/>
      <c r="T64" s="15"/>
      <c r="U64" s="15"/>
    </row>
    <row r="65" spans="1:21" ht="15" customHeight="1" x14ac:dyDescent="0.2">
      <c r="A65" s="69" t="s">
        <v>31</v>
      </c>
      <c r="B65" s="70"/>
      <c r="C65" s="71"/>
      <c r="D65" s="72"/>
      <c r="E65" s="73"/>
      <c r="F65" s="72"/>
      <c r="G65" s="74"/>
      <c r="H65" s="72"/>
      <c r="I65" s="74"/>
      <c r="J65" s="72"/>
      <c r="K65" s="74"/>
      <c r="L65" s="72"/>
      <c r="M65" s="75"/>
      <c r="N65" s="15"/>
      <c r="O65" s="76"/>
      <c r="P65" s="76"/>
      <c r="Q65" s="76"/>
      <c r="R65" s="76"/>
      <c r="S65" s="76"/>
      <c r="T65" s="15"/>
      <c r="U65" s="15"/>
    </row>
    <row r="66" spans="1:21" ht="15" customHeight="1" x14ac:dyDescent="0.2">
      <c r="A66" s="77" t="inlineStr">
        <is>
          <t xml:space="preserve"/>
        </is>
      </c>
      <c r="B66" s="58" t="inlineStr">
        <is>
          <t xml:space="preserve">-</t>
        </is>
      </c>
      <c r="C66" s="59">
        <v>0</v>
      </c>
      <c r="D66" s="60">
        <v>0</v>
      </c>
      <c r="E66" s="67">
        <f>SUM(C66*D66)</f>
      </c>
      <c r="F66" s="60">
        <v>0</v>
      </c>
      <c r="G66" s="61">
        <f>SUM(F66*C66)</f>
      </c>
      <c r="H66" s="60">
        <v>0</v>
      </c>
      <c r="I66" s="67">
        <f>SUM(H66*C66)</f>
      </c>
      <c r="J66" s="60">
        <v>0</v>
      </c>
      <c r="K66" s="67">
        <f>SUM(J66*C66)</f>
      </c>
      <c r="L66" s="60">
        <v>0</v>
      </c>
      <c r="M66" s="68">
        <f>SUM(L66*C66)</f>
      </c>
      <c r="N66" s="15"/>
      <c r="O66" s="5" t="inlineStr">
        <is>
          <t xml:space="preserve"/>
        </is>
      </c>
      <c r="P66" s="5"/>
      <c r="Q66" s="5"/>
      <c r="R66" s="5"/>
      <c r="S66" s="5"/>
      <c r="T66" s="15"/>
      <c r="U66" s="15"/>
    </row>
    <row r="67" spans="1:21" ht="15" customHeight="1" x14ac:dyDescent="0.2">
      <c r="A67" s="77" t="inlineStr">
        <is>
          <t xml:space="preserve"/>
        </is>
      </c>
      <c r="B67" s="58" t="inlineStr">
        <is>
          <t xml:space="preserve">-</t>
        </is>
      </c>
      <c r="C67" s="59">
        <v>0</v>
      </c>
      <c r="D67" s="60">
        <v>0</v>
      </c>
      <c r="E67" s="67">
        <f>SUM(C67*D67)</f>
      </c>
      <c r="F67" s="60">
        <v>0</v>
      </c>
      <c r="G67" s="61">
        <f>F67*C67</f>
      </c>
      <c r="H67" s="60">
        <v>0</v>
      </c>
      <c r="I67" s="67">
        <f>SUM(H67*C67)</f>
      </c>
      <c r="J67" s="60">
        <v>0</v>
      </c>
      <c r="K67" s="67">
        <f>SUM(J67*C67)</f>
      </c>
      <c r="L67" s="60">
        <v>0</v>
      </c>
      <c r="M67" s="68">
        <f>SUM(L67*C67)</f>
      </c>
      <c r="N67" s="15"/>
      <c r="O67" s="64" t="inlineStr">
        <is>
          <t xml:space="preserve"/>
        </is>
      </c>
      <c r="P67" s="65"/>
      <c r="Q67" s="65"/>
      <c r="R67" s="65"/>
      <c r="S67" s="66"/>
      <c r="T67" s="15"/>
      <c r="U67" s="15"/>
    </row>
    <row r="68" spans="1:21" ht="15" customHeight="1" x14ac:dyDescent="0.2">
      <c r="A68" s="77" t="inlineStr">
        <is>
          <t xml:space="preserve"/>
        </is>
      </c>
      <c r="B68" s="58" t="inlineStr">
        <is>
          <t xml:space="preserve">-</t>
        </is>
      </c>
      <c r="C68" s="59">
        <v>0</v>
      </c>
      <c r="D68" s="60">
        <v>0</v>
      </c>
      <c r="E68" s="67">
        <f>SUM(C68*D68)</f>
      </c>
      <c r="F68" s="60">
        <v>0</v>
      </c>
      <c r="G68" s="61">
        <f>F68*C68</f>
      </c>
      <c r="H68" s="60">
        <v>0</v>
      </c>
      <c r="I68" s="67">
        <f>SUM(H68*C68)</f>
      </c>
      <c r="J68" s="60">
        <v>0</v>
      </c>
      <c r="K68" s="67">
        <f>SUM(J68*C68)</f>
      </c>
      <c r="L68" s="60">
        <v>0</v>
      </c>
      <c r="M68" s="68">
        <f>SUM(L68*C68)</f>
      </c>
      <c r="N68" s="15"/>
      <c r="O68" s="64" t="inlineStr">
        <is>
          <t xml:space="preserve"/>
        </is>
      </c>
      <c r="P68" s="65"/>
      <c r="Q68" s="65"/>
      <c r="R68" s="65"/>
      <c r="S68" s="66"/>
      <c r="T68" s="15"/>
      <c r="U68" s="15"/>
    </row>
    <row r="69" spans="1:21" ht="15" customHeight="1" x14ac:dyDescent="0.2">
      <c r="A69" s="77" t="inlineStr">
        <is>
          <t xml:space="preserve"/>
        </is>
      </c>
      <c r="B69" s="58" t="inlineStr">
        <is>
          <t xml:space="preserve">-</t>
        </is>
      </c>
      <c r="C69" s="59">
        <v>0</v>
      </c>
      <c r="D69" s="60">
        <v>0</v>
      </c>
      <c r="E69" s="67">
        <f>SUM(C69*D69)</f>
      </c>
      <c r="F69" s="60">
        <v>0</v>
      </c>
      <c r="G69" s="61">
        <f>F69*C69</f>
      </c>
      <c r="H69" s="60">
        <v>0</v>
      </c>
      <c r="I69" s="67">
        <f>SUM(H69*C69)</f>
      </c>
      <c r="J69" s="60">
        <v>0</v>
      </c>
      <c r="K69" s="67">
        <f>SUM(J69*C69)</f>
      </c>
      <c r="L69" s="60">
        <v>0</v>
      </c>
      <c r="M69" s="68">
        <f>SUM(L69*C69)</f>
      </c>
      <c r="N69" s="15"/>
      <c r="O69" s="64" t="inlineStr">
        <is>
          <t xml:space="preserve"/>
        </is>
      </c>
      <c r="P69" s="65"/>
      <c r="Q69" s="65"/>
      <c r="R69" s="65"/>
      <c r="S69" s="66"/>
      <c r="T69" s="15"/>
      <c r="U69" s="15"/>
    </row>
    <row r="70" spans="1:21" ht="15" customHeight="1" x14ac:dyDescent="0.2">
      <c r="A70" s="77" t="inlineStr">
        <is>
          <t xml:space="preserve"/>
        </is>
      </c>
      <c r="B70" s="58" t="inlineStr">
        <is>
          <t xml:space="preserve">-</t>
        </is>
      </c>
      <c r="C70" s="59">
        <v>0</v>
      </c>
      <c r="D70" s="60">
        <v>0</v>
      </c>
      <c r="E70" s="67">
        <f>SUM(C70*D70)</f>
      </c>
      <c r="F70" s="60">
        <v>0</v>
      </c>
      <c r="G70" s="61">
        <f>F70*C70</f>
      </c>
      <c r="H70" s="60">
        <v>0</v>
      </c>
      <c r="I70" s="67">
        <f>SUM(H70*C70)</f>
      </c>
      <c r="J70" s="60">
        <v>0</v>
      </c>
      <c r="K70" s="67">
        <f>SUM(J70*C70)</f>
      </c>
      <c r="L70" s="60">
        <v>0</v>
      </c>
      <c r="M70" s="68">
        <f>SUM(L70*C70)</f>
      </c>
      <c r="N70" s="15"/>
      <c r="O70" s="64" t="inlineStr">
        <is>
          <t xml:space="preserve"/>
        </is>
      </c>
      <c r="P70" s="65"/>
      <c r="Q70" s="65"/>
      <c r="R70" s="65"/>
      <c r="S70" s="66"/>
      <c r="T70" s="15"/>
      <c r="U70" s="15"/>
    </row>
    <row r="71" spans="1:21" ht="15" customHeight="1" x14ac:dyDescent="0.2">
      <c r="A71" s="77" t="inlineStr">
        <is>
          <t xml:space="preserve"/>
        </is>
      </c>
      <c r="B71" s="58" t="inlineStr">
        <is>
          <t xml:space="preserve">-</t>
        </is>
      </c>
      <c r="C71" s="59">
        <v>0</v>
      </c>
      <c r="D71" s="60">
        <v>0</v>
      </c>
      <c r="E71" s="67">
        <f>SUM(C71*D71)</f>
      </c>
      <c r="F71" s="60">
        <v>0</v>
      </c>
      <c r="G71" s="61">
        <f>F71*C71</f>
      </c>
      <c r="H71" s="60">
        <v>0</v>
      </c>
      <c r="I71" s="67">
        <f>SUM(H71*C71)</f>
      </c>
      <c r="J71" s="60">
        <v>0</v>
      </c>
      <c r="K71" s="67">
        <f>SUM(J71*C71)</f>
      </c>
      <c r="L71" s="60">
        <v>0</v>
      </c>
      <c r="M71" s="68">
        <f>SUM(L71*C71)</f>
      </c>
      <c r="N71" s="15"/>
      <c r="O71" s="64" t="inlineStr">
        <is>
          <t xml:space="preserve"/>
        </is>
      </c>
      <c r="P71" s="65"/>
      <c r="Q71" s="65"/>
      <c r="R71" s="65"/>
      <c r="S71" s="66"/>
      <c r="T71" s="15"/>
      <c r="U71" s="15"/>
    </row>
    <row r="72" spans="1:21" ht="15" customHeight="1" x14ac:dyDescent="0.2">
      <c r="A72" s="77" t="inlineStr">
        <is>
          <t xml:space="preserve"/>
        </is>
      </c>
      <c r="B72" s="58" t="inlineStr">
        <is>
          <t xml:space="preserve">-</t>
        </is>
      </c>
      <c r="C72" s="59">
        <v>0</v>
      </c>
      <c r="D72" s="60">
        <v>0</v>
      </c>
      <c r="E72" s="67">
        <f>SUM(C72*D72)</f>
      </c>
      <c r="F72" s="60">
        <v>0</v>
      </c>
      <c r="G72" s="61">
        <f>F72*C72</f>
      </c>
      <c r="H72" s="60">
        <v>0</v>
      </c>
      <c r="I72" s="67">
        <f>SUM(H72*C72)</f>
      </c>
      <c r="J72" s="60">
        <v>0</v>
      </c>
      <c r="K72" s="67">
        <f>SUM(J72*C72)</f>
      </c>
      <c r="L72" s="60">
        <v>0</v>
      </c>
      <c r="M72" s="68">
        <f>SUM(L72*C72)</f>
      </c>
      <c r="N72" s="15"/>
      <c r="O72" s="64" t="inlineStr">
        <is>
          <t xml:space="preserve"/>
        </is>
      </c>
      <c r="P72" s="65"/>
      <c r="Q72" s="65"/>
      <c r="R72" s="65"/>
      <c r="S72" s="66"/>
      <c r="T72" s="15"/>
      <c r="U72" s="15"/>
    </row>
    <row r="73" spans="1:21" ht="15" customHeight="1" x14ac:dyDescent="0.2">
      <c r="A73" s="77" t="inlineStr">
        <is>
          <t xml:space="preserve"/>
        </is>
      </c>
      <c r="B73" s="58" t="inlineStr">
        <is>
          <t xml:space="preserve">-</t>
        </is>
      </c>
      <c r="C73" s="59">
        <v>0</v>
      </c>
      <c r="D73" s="60">
        <v>0</v>
      </c>
      <c r="E73" s="67">
        <f>SUM(C73*D73)</f>
      </c>
      <c r="F73" s="60">
        <v>0</v>
      </c>
      <c r="G73" s="61">
        <f>F73*C73</f>
      </c>
      <c r="H73" s="60">
        <v>0</v>
      </c>
      <c r="I73" s="67">
        <f>SUM(H73*C73)</f>
      </c>
      <c r="J73" s="60">
        <v>0</v>
      </c>
      <c r="K73" s="67">
        <f>SUM(J73*C73)</f>
      </c>
      <c r="L73" s="60">
        <v>0</v>
      </c>
      <c r="M73" s="68">
        <f>SUM(L73*C73)</f>
      </c>
      <c r="N73" s="15"/>
      <c r="O73" s="64" t="inlineStr">
        <is>
          <t xml:space="preserve"/>
        </is>
      </c>
      <c r="P73" s="65"/>
      <c r="Q73" s="65"/>
      <c r="R73" s="65"/>
      <c r="S73" s="66"/>
      <c r="T73" s="15"/>
      <c r="U73" s="15"/>
    </row>
    <row r="74" spans="1:21" ht="15" customHeight="1" x14ac:dyDescent="0.2">
      <c r="A74" s="77" t="inlineStr">
        <is>
          <t xml:space="preserve"/>
        </is>
      </c>
      <c r="B74" s="58" t="inlineStr">
        <is>
          <t xml:space="preserve">-</t>
        </is>
      </c>
      <c r="C74" s="59">
        <v>0</v>
      </c>
      <c r="D74" s="60">
        <v>0</v>
      </c>
      <c r="E74" s="67">
        <f>SUM(C74*D74)</f>
      </c>
      <c r="F74" s="60">
        <v>0</v>
      </c>
      <c r="G74" s="61">
        <f>F74*C74</f>
      </c>
      <c r="H74" s="60">
        <v>0</v>
      </c>
      <c r="I74" s="67">
        <f>SUM(H74*C74)</f>
      </c>
      <c r="J74" s="60">
        <v>0</v>
      </c>
      <c r="K74" s="67">
        <f>SUM(J74*C74)</f>
      </c>
      <c r="L74" s="60">
        <v>0</v>
      </c>
      <c r="M74" s="68">
        <f>SUM(L74*C74)</f>
      </c>
      <c r="N74" s="15"/>
      <c r="O74" s="64" t="inlineStr">
        <is>
          <t xml:space="preserve"/>
        </is>
      </c>
      <c r="P74" s="65"/>
      <c r="Q74" s="65"/>
      <c r="R74" s="65"/>
      <c r="S74" s="66"/>
      <c r="T74" s="15"/>
      <c r="U74" s="15"/>
    </row>
    <row r="75" spans="1:21" ht="15" customHeight="1" x14ac:dyDescent="0.2">
      <c r="A75" s="77" t="inlineStr">
        <is>
          <t xml:space="preserve"/>
        </is>
      </c>
      <c r="B75" s="58" t="inlineStr">
        <is>
          <t xml:space="preserve">-</t>
        </is>
      </c>
      <c r="C75" s="59">
        <v>0</v>
      </c>
      <c r="D75" s="60">
        <v>0</v>
      </c>
      <c r="E75" s="67">
        <f>SUM(C75*D75)</f>
      </c>
      <c r="F75" s="60">
        <v>0</v>
      </c>
      <c r="G75" s="61">
        <f>F75*C75</f>
      </c>
      <c r="H75" s="60">
        <v>0</v>
      </c>
      <c r="I75" s="67">
        <f>SUM(H75*C75)</f>
      </c>
      <c r="J75" s="60">
        <v>0</v>
      </c>
      <c r="K75" s="67">
        <f>SUM(J75*C75)</f>
      </c>
      <c r="L75" s="60">
        <v>0</v>
      </c>
      <c r="M75" s="68">
        <f>SUM(L75*C75)</f>
      </c>
      <c r="N75" s="15"/>
      <c r="O75" s="64" t="inlineStr">
        <is>
          <t xml:space="preserve"/>
        </is>
      </c>
      <c r="P75" s="65"/>
      <c r="Q75" s="65"/>
      <c r="R75" s="65"/>
      <c r="S75" s="66"/>
      <c r="T75" s="15"/>
      <c r="U75" s="15"/>
    </row>
    <row r="76" spans="1:21" ht="15" customHeight="1" x14ac:dyDescent="0.2">
      <c r="A76" s="77" t="inlineStr">
        <is>
          <t xml:space="preserve"/>
        </is>
      </c>
      <c r="B76" s="58" t="inlineStr">
        <is>
          <t xml:space="preserve">-</t>
        </is>
      </c>
      <c r="C76" s="59">
        <v>0</v>
      </c>
      <c r="D76" s="60">
        <v>0</v>
      </c>
      <c r="E76" s="67">
        <f>SUM(C76*D76)</f>
      </c>
      <c r="F76" s="60">
        <v>0</v>
      </c>
      <c r="G76" s="61">
        <f>F76*C76</f>
      </c>
      <c r="H76" s="60">
        <v>0</v>
      </c>
      <c r="I76" s="67">
        <f>SUM(H76*C76)</f>
      </c>
      <c r="J76" s="60">
        <v>0</v>
      </c>
      <c r="K76" s="67">
        <f>SUM(J76*C76)</f>
      </c>
      <c r="L76" s="60">
        <v>0</v>
      </c>
      <c r="M76" s="68">
        <f>SUM(L76*C76)</f>
      </c>
      <c r="N76" s="15"/>
      <c r="O76" s="64" t="inlineStr">
        <is>
          <t xml:space="preserve"/>
        </is>
      </c>
      <c r="P76" s="65"/>
      <c r="Q76" s="65"/>
      <c r="R76" s="65"/>
      <c r="S76" s="66"/>
      <c r="T76" s="15"/>
      <c r="U76" s="15"/>
    </row>
    <row r="77" spans="1:21" ht="15" customHeight="1" x14ac:dyDescent="0.2">
      <c r="A77" s="77" t="inlineStr">
        <is>
          <t xml:space="preserve"/>
        </is>
      </c>
      <c r="B77" s="58" t="inlineStr">
        <is>
          <t xml:space="preserve">-</t>
        </is>
      </c>
      <c r="C77" s="59">
        <v>0</v>
      </c>
      <c r="D77" s="60">
        <v>0</v>
      </c>
      <c r="E77" s="67">
        <f>SUM(C77*D77)</f>
      </c>
      <c r="F77" s="60">
        <v>0</v>
      </c>
      <c r="G77" s="61">
        <f>F77*C77</f>
      </c>
      <c r="H77" s="60">
        <v>0</v>
      </c>
      <c r="I77" s="67">
        <f>SUM(H77*C77)</f>
      </c>
      <c r="J77" s="60">
        <v>0</v>
      </c>
      <c r="K77" s="67">
        <f>SUM(J77*C77)</f>
      </c>
      <c r="L77" s="60">
        <v>0</v>
      </c>
      <c r="M77" s="68">
        <f>SUM(L77*C77)</f>
      </c>
      <c r="N77" s="15"/>
      <c r="O77" s="64" t="inlineStr">
        <is>
          <t xml:space="preserve"/>
        </is>
      </c>
      <c r="P77" s="65"/>
      <c r="Q77" s="65"/>
      <c r="R77" s="65"/>
      <c r="S77" s="66"/>
      <c r="T77" s="15"/>
      <c r="U77" s="15"/>
    </row>
    <row r="78" spans="1:21" ht="15" customHeight="1" x14ac:dyDescent="0.2">
      <c r="A78" s="77" t="inlineStr">
        <is>
          <t xml:space="preserve"/>
        </is>
      </c>
      <c r="B78" s="58" t="inlineStr">
        <is>
          <t xml:space="preserve">-</t>
        </is>
      </c>
      <c r="C78" s="59">
        <v>0</v>
      </c>
      <c r="D78" s="60">
        <v>0</v>
      </c>
      <c r="E78" s="67">
        <f>SUM(C78*D78)</f>
      </c>
      <c r="F78" s="60">
        <v>0</v>
      </c>
      <c r="G78" s="61">
        <f>F78*C78</f>
      </c>
      <c r="H78" s="60">
        <v>0</v>
      </c>
      <c r="I78" s="67">
        <f>SUM(H78*C78)</f>
      </c>
      <c r="J78" s="60">
        <v>0</v>
      </c>
      <c r="K78" s="67">
        <f>SUM(J78*C78)</f>
      </c>
      <c r="L78" s="60">
        <v>0</v>
      </c>
      <c r="M78" s="68">
        <f>SUM(L78*C78)</f>
      </c>
      <c r="N78" s="15"/>
      <c r="O78" s="64" t="inlineStr">
        <is>
          <t xml:space="preserve"/>
        </is>
      </c>
      <c r="P78" s="65"/>
      <c r="Q78" s="65"/>
      <c r="R78" s="65"/>
      <c r="S78" s="66"/>
      <c r="T78" s="15"/>
      <c r="U78" s="15"/>
    </row>
    <row r="79" spans="1:21" ht="15" customHeight="1" x14ac:dyDescent="0.2">
      <c r="A79" s="77" t="inlineStr">
        <is>
          <t xml:space="preserve"/>
        </is>
      </c>
      <c r="B79" s="58" t="inlineStr">
        <is>
          <t xml:space="preserve">-</t>
        </is>
      </c>
      <c r="C79" s="59">
        <v>0</v>
      </c>
      <c r="D79" s="60">
        <v>0</v>
      </c>
      <c r="E79" s="67">
        <f>SUM(C79*D79)</f>
      </c>
      <c r="F79" s="60">
        <v>0</v>
      </c>
      <c r="G79" s="61">
        <f>F79*C79</f>
      </c>
      <c r="H79" s="60">
        <v>0</v>
      </c>
      <c r="I79" s="67">
        <f>SUM(H79*C79)</f>
      </c>
      <c r="J79" s="60">
        <v>0</v>
      </c>
      <c r="K79" s="67">
        <f>SUM(J79*C79)</f>
      </c>
      <c r="L79" s="60">
        <v>0</v>
      </c>
      <c r="M79" s="68">
        <f>SUM(L79*C79)</f>
      </c>
      <c r="N79" s="15"/>
      <c r="O79" s="64" t="inlineStr">
        <is>
          <t xml:space="preserve"/>
        </is>
      </c>
      <c r="P79" s="65"/>
      <c r="Q79" s="65"/>
      <c r="R79" s="65"/>
      <c r="S79" s="66"/>
      <c r="T79" s="15"/>
      <c r="U79" s="15"/>
    </row>
    <row r="80" spans="1:21" ht="15" customHeight="1" x14ac:dyDescent="0.2">
      <c r="A80" s="77" t="inlineStr">
        <is>
          <t xml:space="preserve"/>
        </is>
      </c>
      <c r="B80" s="58" t="inlineStr">
        <is>
          <t xml:space="preserve">-</t>
        </is>
      </c>
      <c r="C80" s="59">
        <v>0</v>
      </c>
      <c r="D80" s="60">
        <v>0</v>
      </c>
      <c r="E80" s="67">
        <f>SUM(C80*D80)</f>
      </c>
      <c r="F80" s="60">
        <v>0</v>
      </c>
      <c r="G80" s="61">
        <f>F80*C80</f>
      </c>
      <c r="H80" s="60">
        <v>0</v>
      </c>
      <c r="I80" s="67">
        <f>SUM(H80*C80)</f>
      </c>
      <c r="J80" s="60">
        <v>0</v>
      </c>
      <c r="K80" s="67">
        <f>SUM(J80*C80)</f>
      </c>
      <c r="L80" s="60">
        <v>0</v>
      </c>
      <c r="M80" s="68">
        <f>SUM(L80*C80)</f>
      </c>
      <c r="N80" s="15"/>
      <c r="O80" s="64" t="inlineStr">
        <is>
          <t xml:space="preserve"/>
        </is>
      </c>
      <c r="P80" s="65"/>
      <c r="Q80" s="65"/>
      <c r="R80" s="65"/>
      <c r="S80" s="66"/>
      <c r="T80" s="15"/>
      <c r="U80" s="15"/>
    </row>
    <row r="81" spans="1:21" ht="15" customHeight="1" x14ac:dyDescent="0.2">
      <c r="A81" s="77" t="inlineStr">
        <is>
          <t xml:space="preserve"/>
        </is>
      </c>
      <c r="B81" s="58" t="inlineStr">
        <is>
          <t xml:space="preserve">-</t>
        </is>
      </c>
      <c r="C81" s="59">
        <v>0</v>
      </c>
      <c r="D81" s="60">
        <v>0</v>
      </c>
      <c r="E81" s="67">
        <f>SUM(C81*D81)</f>
      </c>
      <c r="F81" s="60">
        <v>0</v>
      </c>
      <c r="G81" s="61">
        <f>F81*C81</f>
      </c>
      <c r="H81" s="60">
        <v>0</v>
      </c>
      <c r="I81" s="67">
        <f>SUM(H81*C81)</f>
      </c>
      <c r="J81" s="60">
        <v>0</v>
      </c>
      <c r="K81" s="67">
        <f>SUM(J81*C81)</f>
      </c>
      <c r="L81" s="60">
        <v>0</v>
      </c>
      <c r="M81" s="68">
        <f>SUM(L81*C81)</f>
      </c>
      <c r="N81" s="15"/>
      <c r="O81" s="64" t="inlineStr">
        <is>
          <t xml:space="preserve"/>
        </is>
      </c>
      <c r="P81" s="65"/>
      <c r="Q81" s="65"/>
      <c r="R81" s="65"/>
      <c r="S81" s="66"/>
      <c r="T81" s="15"/>
      <c r="U81" s="15"/>
    </row>
    <row r="82" spans="1:21" ht="15" customHeight="1" x14ac:dyDescent="0.2">
      <c r="A82" s="77" t="inlineStr">
        <is>
          <t xml:space="preserve"/>
        </is>
      </c>
      <c r="B82" s="58" t="inlineStr">
        <is>
          <t xml:space="preserve">-</t>
        </is>
      </c>
      <c r="C82" s="59">
        <v>0</v>
      </c>
      <c r="D82" s="60">
        <v>0</v>
      </c>
      <c r="E82" s="67">
        <f>SUM(C82*D82)</f>
      </c>
      <c r="F82" s="60">
        <v>0</v>
      </c>
      <c r="G82" s="61">
        <f>F82*C82</f>
      </c>
      <c r="H82" s="60">
        <v>0</v>
      </c>
      <c r="I82" s="67">
        <f>SUM(H82*C82)</f>
      </c>
      <c r="J82" s="60">
        <v>0</v>
      </c>
      <c r="K82" s="67">
        <f>SUM(J82*C82)</f>
      </c>
      <c r="L82" s="60">
        <v>0</v>
      </c>
      <c r="M82" s="68">
        <f>SUM(L82*C82)</f>
      </c>
      <c r="N82" s="15"/>
      <c r="O82" s="64" t="inlineStr">
        <is>
          <t xml:space="preserve"/>
        </is>
      </c>
      <c r="P82" s="65"/>
      <c r="Q82" s="65"/>
      <c r="R82" s="65"/>
      <c r="S82" s="66"/>
      <c r="T82" s="15"/>
      <c r="U82" s="15"/>
    </row>
    <row r="83" spans="1:21" ht="15" customHeight="1" x14ac:dyDescent="0.2">
      <c r="A83" s="77" t="inlineStr">
        <is>
          <t xml:space="preserve"/>
        </is>
      </c>
      <c r="B83" s="58" t="inlineStr">
        <is>
          <t xml:space="preserve">-</t>
        </is>
      </c>
      <c r="C83" s="59">
        <v>0</v>
      </c>
      <c r="D83" s="60">
        <v>0</v>
      </c>
      <c r="E83" s="67">
        <f>SUM(C83*D83)</f>
      </c>
      <c r="F83" s="60">
        <v>0</v>
      </c>
      <c r="G83" s="61">
        <f>F83*C83</f>
      </c>
      <c r="H83" s="60">
        <v>0</v>
      </c>
      <c r="I83" s="67">
        <f>SUM(H83*C83)</f>
      </c>
      <c r="J83" s="60">
        <v>0</v>
      </c>
      <c r="K83" s="67">
        <f>SUM(J83*C83)</f>
      </c>
      <c r="L83" s="60">
        <v>0</v>
      </c>
      <c r="M83" s="68">
        <f>SUM(L83*C83)</f>
      </c>
      <c r="N83" s="15"/>
      <c r="O83" s="64" t="inlineStr">
        <is>
          <t xml:space="preserve"/>
        </is>
      </c>
      <c r="P83" s="65"/>
      <c r="Q83" s="65"/>
      <c r="R83" s="65"/>
      <c r="S83" s="66"/>
      <c r="T83" s="15"/>
      <c r="U83" s="15"/>
    </row>
    <row r="84" spans="1:21" ht="15" customHeight="1" x14ac:dyDescent="0.2">
      <c r="A84" s="77" t="inlineStr">
        <is>
          <t xml:space="preserve"/>
        </is>
      </c>
      <c r="B84" s="58" t="inlineStr">
        <is>
          <t xml:space="preserve">-</t>
        </is>
      </c>
      <c r="C84" s="59">
        <v>0</v>
      </c>
      <c r="D84" s="60">
        <v>0</v>
      </c>
      <c r="E84" s="67">
        <f>SUM(C84*D84)</f>
      </c>
      <c r="F84" s="60">
        <v>0</v>
      </c>
      <c r="G84" s="61">
        <f>F84*C84</f>
      </c>
      <c r="H84" s="60">
        <v>0</v>
      </c>
      <c r="I84" s="67">
        <f>SUM(H84*C84)</f>
      </c>
      <c r="J84" s="60">
        <v>0</v>
      </c>
      <c r="K84" s="67">
        <f>SUM(J84*C84)</f>
      </c>
      <c r="L84" s="60">
        <v>0</v>
      </c>
      <c r="M84" s="68">
        <f>SUM(L84*C84)</f>
      </c>
      <c r="N84" s="15"/>
      <c r="O84" s="64" t="inlineStr">
        <is>
          <t xml:space="preserve"/>
        </is>
      </c>
      <c r="P84" s="65"/>
      <c r="Q84" s="65"/>
      <c r="R84" s="65"/>
      <c r="S84" s="66"/>
      <c r="T84" s="15"/>
      <c r="U84" s="15"/>
    </row>
    <row r="85" spans="1:21" ht="15" customHeight="1" x14ac:dyDescent="0.2">
      <c r="A85" s="77" t="inlineStr">
        <is>
          <t xml:space="preserve"/>
        </is>
      </c>
      <c r="B85" s="58" t="inlineStr">
        <is>
          <t xml:space="preserve">-</t>
        </is>
      </c>
      <c r="C85" s="59">
        <v>0</v>
      </c>
      <c r="D85" s="60">
        <v>0</v>
      </c>
      <c r="E85" s="67">
        <f>SUM(C85*D85)</f>
      </c>
      <c r="F85" s="60">
        <v>0</v>
      </c>
      <c r="G85" s="61">
        <f>F85*C85</f>
      </c>
      <c r="H85" s="60">
        <v>0</v>
      </c>
      <c r="I85" s="67">
        <f>SUM(H85*C85)</f>
      </c>
      <c r="J85" s="60">
        <v>0</v>
      </c>
      <c r="K85" s="67">
        <f>SUM(J85*C85)</f>
      </c>
      <c r="L85" s="60">
        <v>0</v>
      </c>
      <c r="M85" s="68">
        <f>SUM(L85*C85)</f>
      </c>
      <c r="N85" s="15"/>
      <c r="O85" s="64" t="inlineStr">
        <is>
          <t xml:space="preserve"/>
        </is>
      </c>
      <c r="P85" s="65"/>
      <c r="Q85" s="65"/>
      <c r="R85" s="65"/>
      <c r="S85" s="66"/>
      <c r="T85" s="15"/>
      <c r="U85" s="15"/>
    </row>
    <row r="86" spans="1:21" ht="15" customHeight="1" x14ac:dyDescent="0.2">
      <c r="A86" s="77" t="inlineStr">
        <is>
          <t xml:space="preserve"/>
        </is>
      </c>
      <c r="B86" s="58" t="inlineStr">
        <is>
          <t xml:space="preserve">-</t>
        </is>
      </c>
      <c r="C86" s="59">
        <v>0</v>
      </c>
      <c r="D86" s="60">
        <v>0</v>
      </c>
      <c r="E86" s="67">
        <f>SUM(C86*D86)</f>
      </c>
      <c r="F86" s="60">
        <v>0</v>
      </c>
      <c r="G86" s="61">
        <f>F86*C86</f>
      </c>
      <c r="H86" s="60">
        <v>0</v>
      </c>
      <c r="I86" s="67">
        <f>SUM(H86*C86)</f>
      </c>
      <c r="J86" s="60">
        <v>0</v>
      </c>
      <c r="K86" s="67">
        <f>SUM(J86*C86)</f>
      </c>
      <c r="L86" s="60">
        <v>0</v>
      </c>
      <c r="M86" s="68">
        <f>SUM(L86*C86)</f>
      </c>
      <c r="N86" s="15"/>
      <c r="O86" s="64" t="inlineStr">
        <is>
          <t xml:space="preserve"/>
        </is>
      </c>
      <c r="P86" s="65"/>
      <c r="Q86" s="65"/>
      <c r="R86" s="65"/>
      <c r="S86" s="66"/>
      <c r="T86" s="15"/>
      <c r="U86" s="15"/>
    </row>
    <row r="87" spans="1:21" ht="15" customHeight="1" x14ac:dyDescent="0.2">
      <c r="A87" s="77" t="inlineStr">
        <is>
          <t xml:space="preserve"/>
        </is>
      </c>
      <c r="B87" s="58" t="inlineStr">
        <is>
          <t xml:space="preserve">-</t>
        </is>
      </c>
      <c r="C87" s="59">
        <v>0</v>
      </c>
      <c r="D87" s="60">
        <v>0</v>
      </c>
      <c r="E87" s="67">
        <f>SUM(C87*D87)</f>
      </c>
      <c r="F87" s="60">
        <v>0</v>
      </c>
      <c r="G87" s="61">
        <f>F87*C87</f>
      </c>
      <c r="H87" s="60">
        <v>0</v>
      </c>
      <c r="I87" s="67">
        <f>SUM(H87*C87)</f>
      </c>
      <c r="J87" s="60">
        <v>0</v>
      </c>
      <c r="K87" s="67">
        <f>SUM(J87*C87)</f>
      </c>
      <c r="L87" s="60">
        <v>0</v>
      </c>
      <c r="M87" s="68">
        <f>SUM(L87*C87)</f>
      </c>
      <c r="N87" s="15"/>
      <c r="O87" s="64" t="inlineStr">
        <is>
          <t xml:space="preserve"/>
        </is>
      </c>
      <c r="P87" s="65"/>
      <c r="Q87" s="65"/>
      <c r="R87" s="65"/>
      <c r="S87" s="66"/>
      <c r="T87" s="15"/>
      <c r="U87" s="15"/>
    </row>
    <row r="88" spans="1:21" ht="15" customHeight="1" x14ac:dyDescent="0.2">
      <c r="A88" s="77" t="inlineStr">
        <is>
          <t xml:space="preserve"/>
        </is>
      </c>
      <c r="B88" s="58" t="inlineStr">
        <is>
          <t xml:space="preserve">-</t>
        </is>
      </c>
      <c r="C88" s="59">
        <v>0</v>
      </c>
      <c r="D88" s="60">
        <v>0</v>
      </c>
      <c r="E88" s="67">
        <f>SUM(C88*D88)</f>
      </c>
      <c r="F88" s="60">
        <v>0</v>
      </c>
      <c r="G88" s="61">
        <f>F88*C88</f>
      </c>
      <c r="H88" s="60">
        <v>0</v>
      </c>
      <c r="I88" s="67">
        <f>SUM(H88*C88)</f>
      </c>
      <c r="J88" s="60">
        <v>0</v>
      </c>
      <c r="K88" s="67">
        <f>SUM(J88*C88)</f>
      </c>
      <c r="L88" s="60">
        <v>0</v>
      </c>
      <c r="M88" s="68">
        <f>SUM(L88*C88)</f>
      </c>
      <c r="N88" s="15"/>
      <c r="O88" s="64" t="inlineStr">
        <is>
          <t xml:space="preserve"/>
        </is>
      </c>
      <c r="P88" s="65"/>
      <c r="Q88" s="65"/>
      <c r="R88" s="65"/>
      <c r="S88" s="66"/>
      <c r="T88" s="15"/>
      <c r="U88" s="15"/>
    </row>
    <row r="89" spans="1:21" ht="15" customHeight="1" x14ac:dyDescent="0.2">
      <c r="A89" s="77" t="inlineStr">
        <is>
          <t xml:space="preserve"/>
        </is>
      </c>
      <c r="B89" s="58" t="inlineStr">
        <is>
          <t xml:space="preserve">-</t>
        </is>
      </c>
      <c r="C89" s="59">
        <v>0</v>
      </c>
      <c r="D89" s="60">
        <v>0</v>
      </c>
      <c r="E89" s="67">
        <f>SUM(C89*D89)</f>
      </c>
      <c r="F89" s="60">
        <v>0</v>
      </c>
      <c r="G89" s="61">
        <f>F89*C89</f>
      </c>
      <c r="H89" s="60">
        <v>0</v>
      </c>
      <c r="I89" s="67">
        <f>SUM(H89*C89)</f>
      </c>
      <c r="J89" s="60">
        <v>0</v>
      </c>
      <c r="K89" s="67">
        <f>SUM(J89*C89)</f>
      </c>
      <c r="L89" s="60">
        <v>0</v>
      </c>
      <c r="M89" s="68">
        <f>SUM(L89*C89)</f>
      </c>
      <c r="N89" s="15"/>
      <c r="O89" s="64" t="inlineStr">
        <is>
          <t xml:space="preserve"/>
        </is>
      </c>
      <c r="P89" s="65"/>
      <c r="Q89" s="65"/>
      <c r="R89" s="65"/>
      <c r="S89" s="66"/>
      <c r="T89" s="15"/>
      <c r="U89" s="15"/>
    </row>
    <row r="90" spans="1:21" ht="15" customHeight="1" x14ac:dyDescent="0.2">
      <c r="A90" s="77" t="inlineStr">
        <is>
          <t xml:space="preserve"/>
        </is>
      </c>
      <c r="B90" s="58" t="inlineStr">
        <is>
          <t xml:space="preserve">-</t>
        </is>
      </c>
      <c r="C90" s="59">
        <v>0</v>
      </c>
      <c r="D90" s="60">
        <v>0</v>
      </c>
      <c r="E90" s="67">
        <f>SUM(C90*D90)</f>
      </c>
      <c r="F90" s="60">
        <v>0</v>
      </c>
      <c r="G90" s="61">
        <f>F90*C90</f>
      </c>
      <c r="H90" s="60">
        <v>0</v>
      </c>
      <c r="I90" s="67">
        <f>SUM(H90*C90)</f>
      </c>
      <c r="J90" s="60">
        <v>0</v>
      </c>
      <c r="K90" s="67">
        <f>SUM(J90*C90)</f>
      </c>
      <c r="L90" s="60">
        <v>0</v>
      </c>
      <c r="M90" s="68">
        <f>SUM(L90*C90)</f>
      </c>
      <c r="N90" s="15"/>
      <c r="O90" s="64" t="inlineStr">
        <is>
          <t xml:space="preserve"/>
        </is>
      </c>
      <c r="P90" s="65"/>
      <c r="Q90" s="65"/>
      <c r="R90" s="65"/>
      <c r="S90" s="66"/>
      <c r="T90" s="15"/>
      <c r="U90" s="15"/>
    </row>
    <row r="91" spans="1:21" ht="15" customHeight="1" x14ac:dyDescent="0.2">
      <c r="A91" s="77" t="inlineStr">
        <is>
          <t xml:space="preserve"/>
        </is>
      </c>
      <c r="B91" s="58" t="inlineStr">
        <is>
          <t xml:space="preserve">-</t>
        </is>
      </c>
      <c r="C91" s="59">
        <v>0</v>
      </c>
      <c r="D91" s="60">
        <v>0</v>
      </c>
      <c r="E91" s="67">
        <f>SUM(C91*D91)</f>
      </c>
      <c r="F91" s="60">
        <v>0</v>
      </c>
      <c r="G91" s="61">
        <f>F91*C91</f>
      </c>
      <c r="H91" s="60">
        <v>0</v>
      </c>
      <c r="I91" s="67">
        <f>SUM(H91*C91)</f>
      </c>
      <c r="J91" s="60">
        <v>0</v>
      </c>
      <c r="K91" s="67">
        <f>SUM(J91*C91)</f>
      </c>
      <c r="L91" s="60">
        <v>0</v>
      </c>
      <c r="M91" s="68">
        <f>SUM(L91*C91)</f>
      </c>
      <c r="N91" s="15"/>
      <c r="O91" s="64" t="inlineStr">
        <is>
          <t xml:space="preserve"/>
        </is>
      </c>
      <c r="P91" s="65"/>
      <c r="Q91" s="65"/>
      <c r="R91" s="65"/>
      <c r="S91" s="66"/>
      <c r="T91" s="15"/>
      <c r="U91" s="15"/>
    </row>
    <row r="92" spans="1:21" ht="15" customHeight="1" x14ac:dyDescent="0.2">
      <c r="A92" s="77" t="inlineStr">
        <is>
          <t xml:space="preserve"/>
        </is>
      </c>
      <c r="B92" s="58" t="inlineStr">
        <is>
          <t xml:space="preserve">-</t>
        </is>
      </c>
      <c r="C92" s="59">
        <v>0</v>
      </c>
      <c r="D92" s="60">
        <v>0</v>
      </c>
      <c r="E92" s="67">
        <f>SUM(C92*D92)</f>
      </c>
      <c r="F92" s="60">
        <v>0</v>
      </c>
      <c r="G92" s="61">
        <f>F92*C92</f>
      </c>
      <c r="H92" s="60">
        <v>0</v>
      </c>
      <c r="I92" s="67">
        <f>SUM(H92*C92)</f>
      </c>
      <c r="J92" s="60">
        <v>0</v>
      </c>
      <c r="K92" s="67">
        <f>SUM(J92*C92)</f>
      </c>
      <c r="L92" s="60">
        <v>0</v>
      </c>
      <c r="M92" s="68">
        <f>SUM(L92*C92)</f>
      </c>
      <c r="N92" s="15"/>
      <c r="O92" s="64" t="inlineStr">
        <is>
          <t xml:space="preserve"/>
        </is>
      </c>
      <c r="P92" s="65"/>
      <c r="Q92" s="65"/>
      <c r="R92" s="65"/>
      <c r="S92" s="66"/>
      <c r="T92" s="15"/>
      <c r="U92" s="15"/>
    </row>
    <row r="93" spans="1:21" ht="15" customHeight="1" x14ac:dyDescent="0.2">
      <c r="A93" s="77" t="inlineStr">
        <is>
          <t xml:space="preserve"/>
        </is>
      </c>
      <c r="B93" s="58" t="inlineStr">
        <is>
          <t xml:space="preserve">-</t>
        </is>
      </c>
      <c r="C93" s="59">
        <v>0</v>
      </c>
      <c r="D93" s="60">
        <v>0</v>
      </c>
      <c r="E93" s="67">
        <f>SUM(C93*D93)</f>
      </c>
      <c r="F93" s="60">
        <v>0</v>
      </c>
      <c r="G93" s="61">
        <f>F93*C93</f>
      </c>
      <c r="H93" s="60">
        <v>0</v>
      </c>
      <c r="I93" s="67">
        <f>SUM(H93*C93)</f>
      </c>
      <c r="J93" s="60">
        <v>0</v>
      </c>
      <c r="K93" s="67">
        <f>SUM(J93*C93)</f>
      </c>
      <c r="L93" s="60">
        <v>0</v>
      </c>
      <c r="M93" s="68">
        <f>SUM(L93*C93)</f>
      </c>
      <c r="N93" s="15"/>
      <c r="O93" s="64" t="inlineStr">
        <is>
          <t xml:space="preserve"/>
        </is>
      </c>
      <c r="P93" s="65"/>
      <c r="Q93" s="65"/>
      <c r="R93" s="65"/>
      <c r="S93" s="66"/>
      <c r="T93" s="15"/>
      <c r="U93" s="15"/>
    </row>
    <row r="94" spans="1:21" ht="15" customHeight="1" x14ac:dyDescent="0.2">
      <c r="A94" s="77" t="inlineStr">
        <is>
          <t xml:space="preserve"/>
        </is>
      </c>
      <c r="B94" s="58" t="inlineStr">
        <is>
          <t xml:space="preserve">-</t>
        </is>
      </c>
      <c r="C94" s="59">
        <v>0</v>
      </c>
      <c r="D94" s="60">
        <v>0</v>
      </c>
      <c r="E94" s="67">
        <f>SUM(C94*D94)</f>
      </c>
      <c r="F94" s="60">
        <v>0</v>
      </c>
      <c r="G94" s="61">
        <f>F94*C94</f>
      </c>
      <c r="H94" s="60">
        <v>0</v>
      </c>
      <c r="I94" s="67">
        <f>SUM(H94*C94)</f>
      </c>
      <c r="J94" s="60">
        <v>0</v>
      </c>
      <c r="K94" s="67">
        <f>SUM(J94*C94)</f>
      </c>
      <c r="L94" s="60">
        <v>0</v>
      </c>
      <c r="M94" s="68">
        <f>SUM(L94*C94)</f>
      </c>
      <c r="N94" s="15"/>
      <c r="O94" s="64" t="inlineStr">
        <is>
          <t xml:space="preserve"/>
        </is>
      </c>
      <c r="P94" s="65"/>
      <c r="Q94" s="65"/>
      <c r="R94" s="65"/>
      <c r="S94" s="66"/>
      <c r="T94" s="15"/>
      <c r="U94" s="15"/>
    </row>
    <row r="95" spans="1:21" ht="15" customHeight="1" x14ac:dyDescent="0.2">
      <c r="A95" s="77" t="inlineStr">
        <is>
          <t xml:space="preserve"/>
        </is>
      </c>
      <c r="B95" s="58" t="inlineStr">
        <is>
          <t xml:space="preserve">-</t>
        </is>
      </c>
      <c r="C95" s="59">
        <v>0</v>
      </c>
      <c r="D95" s="60">
        <v>0</v>
      </c>
      <c r="E95" s="67">
        <f>SUM(C95*D95)</f>
      </c>
      <c r="F95" s="60">
        <v>0</v>
      </c>
      <c r="G95" s="61">
        <f>F95*C95</f>
      </c>
      <c r="H95" s="60">
        <v>0</v>
      </c>
      <c r="I95" s="67">
        <f>SUM(H95*C95)</f>
      </c>
      <c r="J95" s="60">
        <v>0</v>
      </c>
      <c r="K95" s="67">
        <f>SUM(J95*C95)</f>
      </c>
      <c r="L95" s="60">
        <v>0</v>
      </c>
      <c r="M95" s="68">
        <f>SUM(L95*C95)</f>
      </c>
      <c r="N95" s="15"/>
      <c r="O95" s="64" t="inlineStr">
        <is>
          <t xml:space="preserve"/>
        </is>
      </c>
      <c r="P95" s="65"/>
      <c r="Q95" s="65"/>
      <c r="R95" s="65"/>
      <c r="S95" s="66"/>
      <c r="T95" s="15"/>
      <c r="U95" s="15"/>
    </row>
    <row r="96" spans="1:21" ht="15" customHeight="1" x14ac:dyDescent="0.2">
      <c r="A96" s="77" t="inlineStr">
        <is>
          <t xml:space="preserve"/>
        </is>
      </c>
      <c r="B96" s="58" t="inlineStr">
        <is>
          <t xml:space="preserve">-</t>
        </is>
      </c>
      <c r="C96" s="59">
        <v>0</v>
      </c>
      <c r="D96" s="60">
        <v>0</v>
      </c>
      <c r="E96" s="67">
        <f>SUM(C96*D96)</f>
      </c>
      <c r="F96" s="60">
        <v>0</v>
      </c>
      <c r="G96" s="61">
        <f>F96*C96</f>
      </c>
      <c r="H96" s="60">
        <v>0</v>
      </c>
      <c r="I96" s="67">
        <f>SUM(H96*C96)</f>
      </c>
      <c r="J96" s="60">
        <v>0</v>
      </c>
      <c r="K96" s="67">
        <f>SUM(J96*C96)</f>
      </c>
      <c r="L96" s="60">
        <v>0</v>
      </c>
      <c r="M96" s="68">
        <f>SUM(L96*C96)</f>
      </c>
      <c r="N96" s="15"/>
      <c r="O96" s="64" t="inlineStr">
        <is>
          <t xml:space="preserve"/>
        </is>
      </c>
      <c r="P96" s="65"/>
      <c r="Q96" s="65"/>
      <c r="R96" s="65"/>
      <c r="S96" s="66"/>
      <c r="T96" s="15"/>
      <c r="U96" s="15"/>
    </row>
    <row r="97" spans="1:21" ht="15" customHeight="1" x14ac:dyDescent="0.2">
      <c r="A97" s="77" t="inlineStr">
        <is>
          <t xml:space="preserve"/>
        </is>
      </c>
      <c r="B97" s="58" t="inlineStr">
        <is>
          <t xml:space="preserve">-</t>
        </is>
      </c>
      <c r="C97" s="59">
        <v>0</v>
      </c>
      <c r="D97" s="60">
        <v>0</v>
      </c>
      <c r="E97" s="67">
        <f>SUM(C97*D97)</f>
      </c>
      <c r="F97" s="60">
        <v>0</v>
      </c>
      <c r="G97" s="61">
        <f>F97*C97</f>
      </c>
      <c r="H97" s="60">
        <v>0</v>
      </c>
      <c r="I97" s="67">
        <f>SUM(H97*C97)</f>
      </c>
      <c r="J97" s="60">
        <v>0</v>
      </c>
      <c r="K97" s="67">
        <f>SUM(J97*C97)</f>
      </c>
      <c r="L97" s="60">
        <v>0</v>
      </c>
      <c r="M97" s="68">
        <f>SUM(L97*C97)</f>
      </c>
      <c r="N97" s="15"/>
      <c r="O97" s="64" t="inlineStr">
        <is>
          <t xml:space="preserve"/>
        </is>
      </c>
      <c r="P97" s="65"/>
      <c r="Q97" s="65"/>
      <c r="R97" s="65"/>
      <c r="S97" s="66"/>
      <c r="T97" s="15"/>
      <c r="U97" s="15"/>
    </row>
    <row r="98" spans="1:21" ht="15" customHeight="1" x14ac:dyDescent="0.2">
      <c r="A98" s="77" t="inlineStr">
        <is>
          <t xml:space="preserve"/>
        </is>
      </c>
      <c r="B98" s="58" t="inlineStr">
        <is>
          <t xml:space="preserve">-</t>
        </is>
      </c>
      <c r="C98" s="59">
        <v>0</v>
      </c>
      <c r="D98" s="60">
        <v>0</v>
      </c>
      <c r="E98" s="67">
        <f>SUM(C98*D98)</f>
      </c>
      <c r="F98" s="60">
        <v>0</v>
      </c>
      <c r="G98" s="61">
        <f>F98*C98</f>
      </c>
      <c r="H98" s="60">
        <v>0</v>
      </c>
      <c r="I98" s="67">
        <f>SUM(H98*C98)</f>
      </c>
      <c r="J98" s="60">
        <v>0</v>
      </c>
      <c r="K98" s="67">
        <f>SUM(J98*C98)</f>
      </c>
      <c r="L98" s="60">
        <v>0</v>
      </c>
      <c r="M98" s="68">
        <f>SUM(L98*C98)</f>
      </c>
      <c r="N98" s="15"/>
      <c r="O98" s="64" t="inlineStr">
        <is>
          <t xml:space="preserve"/>
        </is>
      </c>
      <c r="P98" s="65"/>
      <c r="Q98" s="65"/>
      <c r="R98" s="65"/>
      <c r="S98" s="66"/>
      <c r="T98" s="15"/>
      <c r="U98" s="15"/>
    </row>
    <row r="99" spans="1:21" ht="15" customHeight="1" x14ac:dyDescent="0.2">
      <c r="A99" s="77" t="inlineStr">
        <is>
          <t xml:space="preserve"/>
        </is>
      </c>
      <c r="B99" s="58" t="inlineStr">
        <is>
          <t xml:space="preserve">-</t>
        </is>
      </c>
      <c r="C99" s="59">
        <v>0</v>
      </c>
      <c r="D99" s="60">
        <v>0</v>
      </c>
      <c r="E99" s="67">
        <f>SUM(C99*D99)</f>
      </c>
      <c r="F99" s="60">
        <v>0</v>
      </c>
      <c r="G99" s="61">
        <f>F99*C99</f>
      </c>
      <c r="H99" s="60">
        <v>0</v>
      </c>
      <c r="I99" s="67">
        <f>SUM(H99*C99)</f>
      </c>
      <c r="J99" s="60">
        <v>0</v>
      </c>
      <c r="K99" s="67">
        <f>SUM(J99*C99)</f>
      </c>
      <c r="L99" s="60">
        <v>0</v>
      </c>
      <c r="M99" s="68">
        <f>SUM(L99*C99)</f>
      </c>
      <c r="N99" s="15"/>
      <c r="O99" s="64" t="inlineStr">
        <is>
          <t xml:space="preserve"/>
        </is>
      </c>
      <c r="P99" s="65"/>
      <c r="Q99" s="65"/>
      <c r="R99" s="65"/>
      <c r="S99" s="66"/>
      <c r="T99" s="15"/>
      <c r="U99" s="15"/>
    </row>
    <row r="100" spans="1:21" ht="15" customHeight="1" x14ac:dyDescent="0.2">
      <c r="A100" s="77" t="inlineStr">
        <is>
          <t xml:space="preserve"/>
        </is>
      </c>
      <c r="B100" s="58" t="inlineStr">
        <is>
          <t xml:space="preserve">-</t>
        </is>
      </c>
      <c r="C100" s="59">
        <v>0</v>
      </c>
      <c r="D100" s="60">
        <v>0</v>
      </c>
      <c r="E100" s="67">
        <f>SUM(C100*D100)</f>
      </c>
      <c r="F100" s="60">
        <v>0</v>
      </c>
      <c r="G100" s="61">
        <f>F100*C100</f>
      </c>
      <c r="H100" s="60">
        <v>0</v>
      </c>
      <c r="I100" s="67">
        <f>SUM(H100*C100)</f>
      </c>
      <c r="J100" s="60">
        <v>0</v>
      </c>
      <c r="K100" s="67">
        <f>SUM(J100*C100)</f>
      </c>
      <c r="L100" s="60">
        <v>0</v>
      </c>
      <c r="M100" s="68">
        <f>SUM(L100*C100)</f>
      </c>
      <c r="N100" s="15"/>
      <c r="O100" s="64" t="inlineStr">
        <is>
          <t xml:space="preserve"/>
        </is>
      </c>
      <c r="P100" s="65"/>
      <c r="Q100" s="65"/>
      <c r="R100" s="65"/>
      <c r="S100" s="66"/>
      <c r="T100" s="15"/>
      <c r="U100" s="15"/>
    </row>
    <row r="101" spans="1:21" ht="15" customHeight="1" x14ac:dyDescent="0.2">
      <c r="A101" s="77" t="inlineStr">
        <is>
          <t xml:space="preserve"/>
        </is>
      </c>
      <c r="B101" s="58" t="inlineStr">
        <is>
          <t xml:space="preserve">-</t>
        </is>
      </c>
      <c r="C101" s="59">
        <v>0</v>
      </c>
      <c r="D101" s="60">
        <v>0</v>
      </c>
      <c r="E101" s="67">
        <f>SUM(C101*D101)</f>
      </c>
      <c r="F101" s="60">
        <v>0</v>
      </c>
      <c r="G101" s="61">
        <f>F101*C101</f>
      </c>
      <c r="H101" s="60">
        <v>0</v>
      </c>
      <c r="I101" s="67">
        <f>SUM(H101*C101)</f>
      </c>
      <c r="J101" s="60">
        <v>0</v>
      </c>
      <c r="K101" s="67">
        <f>SUM(J101*C101)</f>
      </c>
      <c r="L101" s="60">
        <v>0</v>
      </c>
      <c r="M101" s="68">
        <f>SUM(L101*C101)</f>
      </c>
      <c r="N101" s="15"/>
      <c r="O101" s="64" t="inlineStr">
        <is>
          <t xml:space="preserve"/>
        </is>
      </c>
      <c r="P101" s="65"/>
      <c r="Q101" s="65"/>
      <c r="R101" s="65"/>
      <c r="S101" s="66"/>
      <c r="T101" s="15"/>
      <c r="U101" s="15"/>
    </row>
    <row r="102" spans="1:21" ht="15" customHeight="1" x14ac:dyDescent="0.2">
      <c r="A102" s="77" t="inlineStr">
        <is>
          <t xml:space="preserve"/>
        </is>
      </c>
      <c r="B102" s="58" t="inlineStr">
        <is>
          <t xml:space="preserve">-</t>
        </is>
      </c>
      <c r="C102" s="59">
        <v>0</v>
      </c>
      <c r="D102" s="60">
        <v>0</v>
      </c>
      <c r="E102" s="67">
        <f>SUM(C102*D102)</f>
      </c>
      <c r="F102" s="60">
        <v>0</v>
      </c>
      <c r="G102" s="61">
        <f>F102*C102</f>
      </c>
      <c r="H102" s="60">
        <v>0</v>
      </c>
      <c r="I102" s="67">
        <f>SUM(H102*C102)</f>
      </c>
      <c r="J102" s="60">
        <v>0</v>
      </c>
      <c r="K102" s="67">
        <f>SUM(J102*C102)</f>
      </c>
      <c r="L102" s="60">
        <v>0</v>
      </c>
      <c r="M102" s="68">
        <f>SUM(L102*C102)</f>
      </c>
      <c r="N102" s="15"/>
      <c r="O102" s="64" t="inlineStr">
        <is>
          <t xml:space="preserve"/>
        </is>
      </c>
      <c r="P102" s="65"/>
      <c r="Q102" s="65"/>
      <c r="R102" s="65"/>
      <c r="S102" s="66"/>
      <c r="T102" s="15"/>
      <c r="U102" s="15"/>
    </row>
    <row r="103" spans="1:21" ht="15" customHeight="1" x14ac:dyDescent="0.2">
      <c r="A103" s="77" t="inlineStr">
        <is>
          <t xml:space="preserve"/>
        </is>
      </c>
      <c r="B103" s="58" t="inlineStr">
        <is>
          <t xml:space="preserve">-</t>
        </is>
      </c>
      <c r="C103" s="59">
        <v>0</v>
      </c>
      <c r="D103" s="60">
        <v>0</v>
      </c>
      <c r="E103" s="67">
        <f>SUM(C103*D103)</f>
      </c>
      <c r="F103" s="60">
        <v>0</v>
      </c>
      <c r="G103" s="61">
        <f>F103*C103</f>
      </c>
      <c r="H103" s="60">
        <v>0</v>
      </c>
      <c r="I103" s="67">
        <f>SUM(H103*C103)</f>
      </c>
      <c r="J103" s="60">
        <v>0</v>
      </c>
      <c r="K103" s="67">
        <f>SUM(J103*C103)</f>
      </c>
      <c r="L103" s="60">
        <v>0</v>
      </c>
      <c r="M103" s="68">
        <f>SUM(L103*C103)</f>
      </c>
      <c r="N103" s="15"/>
      <c r="O103" s="64" t="inlineStr">
        <is>
          <t xml:space="preserve"/>
        </is>
      </c>
      <c r="P103" s="65"/>
      <c r="Q103" s="65"/>
      <c r="R103" s="65"/>
      <c r="S103" s="66"/>
      <c r="T103" s="15"/>
      <c r="U103" s="15"/>
    </row>
    <row r="104" spans="1:21" ht="15" customHeight="1" x14ac:dyDescent="0.2">
      <c r="A104" s="77" t="inlineStr">
        <is>
          <t xml:space="preserve"/>
        </is>
      </c>
      <c r="B104" s="58" t="inlineStr">
        <is>
          <t xml:space="preserve">-</t>
        </is>
      </c>
      <c r="C104" s="59">
        <v>0</v>
      </c>
      <c r="D104" s="60">
        <v>0</v>
      </c>
      <c r="E104" s="67">
        <f>SUM(C104*D104)</f>
      </c>
      <c r="F104" s="60">
        <v>0</v>
      </c>
      <c r="G104" s="61">
        <f>SUM(F104*C104)</f>
      </c>
      <c r="H104" s="60">
        <v>0</v>
      </c>
      <c r="I104" s="67">
        <f>SUM(H104*C104)</f>
      </c>
      <c r="J104" s="60">
        <v>0</v>
      </c>
      <c r="K104" s="67">
        <f>SUM(J104*C104)</f>
      </c>
      <c r="L104" s="60">
        <v>0</v>
      </c>
      <c r="M104" s="68">
        <f>SUM(L104*C104)</f>
      </c>
      <c r="N104" s="15"/>
      <c r="O104" s="5" t="inlineStr">
        <is>
          <t xml:space="preserve"/>
        </is>
      </c>
      <c r="P104" s="5"/>
      <c r="Q104" s="5"/>
      <c r="R104" s="5"/>
      <c r="S104" s="5"/>
      <c r="T104" s="15"/>
      <c r="U104" s="15"/>
    </row>
    <row r="105" spans="1:21" ht="15" customHeight="1" x14ac:dyDescent="0.2">
      <c r="A105" s="69" t="s">
        <v>32</v>
      </c>
      <c r="B105" s="78"/>
      <c r="C105" s="71"/>
      <c r="D105" s="72"/>
      <c r="E105" s="79"/>
      <c r="F105" s="72"/>
      <c r="G105" s="79"/>
      <c r="H105" s="72"/>
      <c r="I105" s="79"/>
      <c r="J105" s="72"/>
      <c r="K105" s="79"/>
      <c r="L105" s="72"/>
      <c r="M105" s="80"/>
      <c r="N105" s="15"/>
      <c r="O105" s="76"/>
      <c r="P105" s="76"/>
      <c r="Q105" s="76"/>
      <c r="R105" s="76"/>
      <c r="S105" s="76"/>
      <c r="T105" s="15"/>
      <c r="U105" s="15"/>
    </row>
    <row r="106" spans="1:21" ht="15" customHeight="1" x14ac:dyDescent="0.2">
      <c r="A106" s="77" t="inlineStr">
        <is>
          <t xml:space="preserve"/>
        </is>
      </c>
      <c r="B106" s="77" t="inlineStr">
        <is>
          <t xml:space="preserve">-</t>
        </is>
      </c>
      <c r="C106" s="59">
        <v>0</v>
      </c>
      <c r="D106" s="60">
        <v>0</v>
      </c>
      <c r="E106" s="67">
        <f>SUM(C106*D106)</f>
      </c>
      <c r="F106" s="60">
        <v>0</v>
      </c>
      <c r="G106" s="61">
        <f>SUM(F106*C106)</f>
      </c>
      <c r="H106" s="60">
        <v>0</v>
      </c>
      <c r="I106" s="61">
        <f>SUM(H106*C106)</f>
      </c>
      <c r="J106" s="60">
        <v>0</v>
      </c>
      <c r="K106" s="61">
        <f>SUM(J106*C106)</f>
      </c>
      <c r="L106" s="60">
        <v>0</v>
      </c>
      <c r="M106" s="62">
        <f>SUM(L106*C106)</f>
      </c>
      <c r="N106" s="15"/>
      <c r="O106" s="5" t="inlineStr">
        <is>
          <t xml:space="preserve"/>
        </is>
      </c>
      <c r="P106" s="5"/>
      <c r="Q106" s="5"/>
      <c r="R106" s="5"/>
      <c r="S106" s="5"/>
      <c r="T106" s="15"/>
      <c r="U106" s="15"/>
    </row>
    <row r="107" spans="1:21" ht="15" customHeight="1" x14ac:dyDescent="0.2">
      <c r="A107" s="77" t="inlineStr">
        <is>
          <t xml:space="preserve"/>
        </is>
      </c>
      <c r="B107" s="77" t="inlineStr">
        <is>
          <t xml:space="preserve">-</t>
        </is>
      </c>
      <c r="C107" s="59">
        <v>0</v>
      </c>
      <c r="D107" s="60">
        <v>0</v>
      </c>
      <c r="E107" s="67">
        <f>SUM(C107*D107)</f>
      </c>
      <c r="F107" s="60">
        <v>0</v>
      </c>
      <c r="G107" s="61">
        <f>F107*C107</f>
      </c>
      <c r="H107" s="60">
        <v>0</v>
      </c>
      <c r="I107" s="67">
        <f>SUM(H107*C107)</f>
      </c>
      <c r="J107" s="60">
        <v>0</v>
      </c>
      <c r="K107" s="67">
        <f>SUM(J107*C107)</f>
      </c>
      <c r="L107" s="60">
        <v>0</v>
      </c>
      <c r="M107" s="68">
        <f>SUM(L107*C107)</f>
      </c>
      <c r="N107" s="15"/>
      <c r="O107" s="64" t="inlineStr">
        <is>
          <t xml:space="preserve"/>
        </is>
      </c>
      <c r="P107" s="65"/>
      <c r="Q107" s="65"/>
      <c r="R107" s="65"/>
      <c r="S107" s="66"/>
      <c r="T107" s="15"/>
      <c r="U107" s="15"/>
    </row>
    <row r="108" spans="1:21" ht="15" customHeight="1" x14ac:dyDescent="0.2">
      <c r="A108" s="77" t="inlineStr">
        <is>
          <t xml:space="preserve"/>
        </is>
      </c>
      <c r="B108" s="77" t="inlineStr">
        <is>
          <t xml:space="preserve">-</t>
        </is>
      </c>
      <c r="C108" s="59">
        <v>0</v>
      </c>
      <c r="D108" s="60">
        <v>0</v>
      </c>
      <c r="E108" s="67">
        <f>SUM(C108*D108)</f>
      </c>
      <c r="F108" s="60">
        <v>0</v>
      </c>
      <c r="G108" s="61">
        <f>F108*C108</f>
      </c>
      <c r="H108" s="60">
        <v>0</v>
      </c>
      <c r="I108" s="67">
        <f>SUM(H108*C108)</f>
      </c>
      <c r="J108" s="60">
        <v>0</v>
      </c>
      <c r="K108" s="67">
        <f>SUM(J108*C108)</f>
      </c>
      <c r="L108" s="60">
        <v>0</v>
      </c>
      <c r="M108" s="68">
        <f>SUM(L108*C108)</f>
      </c>
      <c r="N108" s="15"/>
      <c r="O108" s="64" t="inlineStr">
        <is>
          <t xml:space="preserve"/>
        </is>
      </c>
      <c r="P108" s="65"/>
      <c r="Q108" s="65"/>
      <c r="R108" s="65"/>
      <c r="S108" s="66"/>
      <c r="T108" s="15"/>
      <c r="U108" s="15"/>
    </row>
    <row r="109" spans="1:21" ht="15" customHeight="1" x14ac:dyDescent="0.2">
      <c r="A109" s="77" t="inlineStr">
        <is>
          <t xml:space="preserve"/>
        </is>
      </c>
      <c r="B109" s="77" t="inlineStr">
        <is>
          <t xml:space="preserve">-</t>
        </is>
      </c>
      <c r="C109" s="59">
        <v>0</v>
      </c>
      <c r="D109" s="60">
        <v>0</v>
      </c>
      <c r="E109" s="67">
        <f>SUM(C109*D109)</f>
      </c>
      <c r="F109" s="60">
        <v>0</v>
      </c>
      <c r="G109" s="61">
        <f>F109*C109</f>
      </c>
      <c r="H109" s="60">
        <v>0</v>
      </c>
      <c r="I109" s="67">
        <f>SUM(H109*C109)</f>
      </c>
      <c r="J109" s="60">
        <v>0</v>
      </c>
      <c r="K109" s="67">
        <f>SUM(J109*C109)</f>
      </c>
      <c r="L109" s="60">
        <v>0</v>
      </c>
      <c r="M109" s="68">
        <f>SUM(L109*C109)</f>
      </c>
      <c r="N109" s="15"/>
      <c r="O109" s="64" t="inlineStr">
        <is>
          <t xml:space="preserve"/>
        </is>
      </c>
      <c r="P109" s="65"/>
      <c r="Q109" s="65"/>
      <c r="R109" s="65"/>
      <c r="S109" s="66"/>
      <c r="T109" s="15"/>
      <c r="U109" s="15"/>
    </row>
    <row r="110" spans="1:21" ht="15" customHeight="1" x14ac:dyDescent="0.2">
      <c r="A110" s="77" t="inlineStr">
        <is>
          <t xml:space="preserve"/>
        </is>
      </c>
      <c r="B110" s="77" t="inlineStr">
        <is>
          <t xml:space="preserve">-</t>
        </is>
      </c>
      <c r="C110" s="59">
        <v>0</v>
      </c>
      <c r="D110" s="60">
        <v>0</v>
      </c>
      <c r="E110" s="67">
        <f>SUM(C110*D110)</f>
      </c>
      <c r="F110" s="60">
        <v>0</v>
      </c>
      <c r="G110" s="61">
        <f>F110*C110</f>
      </c>
      <c r="H110" s="60">
        <v>0</v>
      </c>
      <c r="I110" s="67">
        <f>SUM(H110*C110)</f>
      </c>
      <c r="J110" s="60">
        <v>0</v>
      </c>
      <c r="K110" s="67">
        <f>SUM(J110*C110)</f>
      </c>
      <c r="L110" s="60">
        <v>0</v>
      </c>
      <c r="M110" s="68">
        <f>SUM(L110*C110)</f>
      </c>
      <c r="N110" s="15"/>
      <c r="O110" s="64" t="inlineStr">
        <is>
          <t xml:space="preserve"/>
        </is>
      </c>
      <c r="P110" s="65"/>
      <c r="Q110" s="65"/>
      <c r="R110" s="65"/>
      <c r="S110" s="66"/>
      <c r="T110" s="15"/>
      <c r="U110" s="15"/>
    </row>
    <row r="111" spans="1:21" ht="15" customHeight="1" x14ac:dyDescent="0.2">
      <c r="A111" s="77" t="inlineStr">
        <is>
          <t xml:space="preserve"/>
        </is>
      </c>
      <c r="B111" s="77" t="inlineStr">
        <is>
          <t xml:space="preserve">-</t>
        </is>
      </c>
      <c r="C111" s="59">
        <v>0</v>
      </c>
      <c r="D111" s="60">
        <v>0</v>
      </c>
      <c r="E111" s="67">
        <f>SUM(C111*D111)</f>
      </c>
      <c r="F111" s="60">
        <v>0</v>
      </c>
      <c r="G111" s="61">
        <f>F111*C111</f>
      </c>
      <c r="H111" s="60">
        <v>0</v>
      </c>
      <c r="I111" s="67">
        <f>SUM(H111*C111)</f>
      </c>
      <c r="J111" s="60">
        <v>0</v>
      </c>
      <c r="K111" s="67">
        <f>SUM(J111*C111)</f>
      </c>
      <c r="L111" s="60">
        <v>0</v>
      </c>
      <c r="M111" s="68">
        <f>SUM(L111*C111)</f>
      </c>
      <c r="N111" s="15"/>
      <c r="O111" s="64" t="inlineStr">
        <is>
          <t xml:space="preserve"/>
        </is>
      </c>
      <c r="P111" s="65"/>
      <c r="Q111" s="65"/>
      <c r="R111" s="65"/>
      <c r="S111" s="66"/>
      <c r="T111" s="15"/>
      <c r="U111" s="15"/>
    </row>
    <row r="112" spans="1:21" ht="15" customHeight="1" x14ac:dyDescent="0.2">
      <c r="A112" s="77" t="inlineStr">
        <is>
          <t xml:space="preserve"/>
        </is>
      </c>
      <c r="B112" s="77" t="inlineStr">
        <is>
          <t xml:space="preserve">-</t>
        </is>
      </c>
      <c r="C112" s="59">
        <v>0</v>
      </c>
      <c r="D112" s="60">
        <v>0</v>
      </c>
      <c r="E112" s="67">
        <f>SUM(C112*D112)</f>
      </c>
      <c r="F112" s="60">
        <v>0</v>
      </c>
      <c r="G112" s="61">
        <f>F112*C112</f>
      </c>
      <c r="H112" s="60">
        <v>0</v>
      </c>
      <c r="I112" s="67">
        <f>SUM(H112*C112)</f>
      </c>
      <c r="J112" s="60">
        <v>0</v>
      </c>
      <c r="K112" s="67">
        <f>SUM(J112*C112)</f>
      </c>
      <c r="L112" s="60">
        <v>0</v>
      </c>
      <c r="M112" s="68">
        <f>SUM(L112*C112)</f>
      </c>
      <c r="N112" s="15"/>
      <c r="O112" s="64" t="inlineStr">
        <is>
          <t xml:space="preserve"/>
        </is>
      </c>
      <c r="P112" s="65"/>
      <c r="Q112" s="65"/>
      <c r="R112" s="65"/>
      <c r="S112" s="66"/>
      <c r="T112" s="15"/>
      <c r="U112" s="15"/>
    </row>
    <row r="113" spans="1:21" ht="15" customHeight="1" x14ac:dyDescent="0.2">
      <c r="A113" s="77" t="inlineStr">
        <is>
          <t xml:space="preserve"/>
        </is>
      </c>
      <c r="B113" s="77" t="inlineStr">
        <is>
          <t xml:space="preserve">-</t>
        </is>
      </c>
      <c r="C113" s="59">
        <v>0</v>
      </c>
      <c r="D113" s="60">
        <v>0</v>
      </c>
      <c r="E113" s="67">
        <f>SUM(C113*D113)</f>
      </c>
      <c r="F113" s="60">
        <v>0</v>
      </c>
      <c r="G113" s="61">
        <f>F113*C113</f>
      </c>
      <c r="H113" s="60">
        <v>0</v>
      </c>
      <c r="I113" s="67">
        <f>SUM(H113*C113)</f>
      </c>
      <c r="J113" s="60">
        <v>0</v>
      </c>
      <c r="K113" s="67">
        <f>SUM(J113*C113)</f>
      </c>
      <c r="L113" s="60">
        <v>0</v>
      </c>
      <c r="M113" s="68">
        <f>SUM(L113*C113)</f>
      </c>
      <c r="N113" s="15"/>
      <c r="O113" s="64" t="inlineStr">
        <is>
          <t xml:space="preserve"/>
        </is>
      </c>
      <c r="P113" s="65"/>
      <c r="Q113" s="65"/>
      <c r="R113" s="65"/>
      <c r="S113" s="66"/>
      <c r="T113" s="15"/>
      <c r="U113" s="15"/>
    </row>
    <row r="114" spans="1:21" ht="15" customHeight="1" x14ac:dyDescent="0.2">
      <c r="A114" s="77" t="inlineStr">
        <is>
          <t xml:space="preserve"/>
        </is>
      </c>
      <c r="B114" s="77" t="inlineStr">
        <is>
          <t xml:space="preserve">-</t>
        </is>
      </c>
      <c r="C114" s="59">
        <v>0</v>
      </c>
      <c r="D114" s="60">
        <v>0</v>
      </c>
      <c r="E114" s="67">
        <f>SUM(C114*D114)</f>
      </c>
      <c r="F114" s="60">
        <v>0</v>
      </c>
      <c r="G114" s="61">
        <f>F114*C114</f>
      </c>
      <c r="H114" s="60">
        <v>0</v>
      </c>
      <c r="I114" s="67">
        <f>SUM(H114*C114)</f>
      </c>
      <c r="J114" s="60">
        <v>0</v>
      </c>
      <c r="K114" s="67">
        <f>SUM(J114*C114)</f>
      </c>
      <c r="L114" s="60">
        <v>0</v>
      </c>
      <c r="M114" s="68">
        <f>SUM(L114*C114)</f>
      </c>
      <c r="N114" s="15"/>
      <c r="O114" s="64" t="inlineStr">
        <is>
          <t xml:space="preserve"/>
        </is>
      </c>
      <c r="P114" s="65"/>
      <c r="Q114" s="65"/>
      <c r="R114" s="65"/>
      <c r="S114" s="66"/>
      <c r="T114" s="15"/>
      <c r="U114" s="15"/>
    </row>
    <row r="115" spans="1:21" ht="15" customHeight="1" x14ac:dyDescent="0.2">
      <c r="A115" s="77" t="inlineStr">
        <is>
          <t xml:space="preserve"/>
        </is>
      </c>
      <c r="B115" s="77" t="inlineStr">
        <is>
          <t xml:space="preserve">-</t>
        </is>
      </c>
      <c r="C115" s="59">
        <v>0</v>
      </c>
      <c r="D115" s="60">
        <v>0</v>
      </c>
      <c r="E115" s="67">
        <f>SUM(C115*D115)</f>
      </c>
      <c r="F115" s="60">
        <v>0</v>
      </c>
      <c r="G115" s="61">
        <f>F115*C115</f>
      </c>
      <c r="H115" s="60">
        <v>0</v>
      </c>
      <c r="I115" s="67">
        <f>SUM(H115*C115)</f>
      </c>
      <c r="J115" s="60">
        <v>0</v>
      </c>
      <c r="K115" s="67">
        <f>SUM(J115*C115)</f>
      </c>
      <c r="L115" s="60">
        <v>0</v>
      </c>
      <c r="M115" s="68">
        <f>SUM(L115*C115)</f>
      </c>
      <c r="N115" s="15"/>
      <c r="O115" s="64" t="inlineStr">
        <is>
          <t xml:space="preserve"/>
        </is>
      </c>
      <c r="P115" s="65"/>
      <c r="Q115" s="65"/>
      <c r="R115" s="65"/>
      <c r="S115" s="66"/>
      <c r="T115" s="15"/>
      <c r="U115" s="15"/>
    </row>
    <row r="116" spans="1:21" ht="15" customHeight="1" x14ac:dyDescent="0.2">
      <c r="A116" s="77" t="inlineStr">
        <is>
          <t xml:space="preserve"/>
        </is>
      </c>
      <c r="B116" s="77" t="inlineStr">
        <is>
          <t xml:space="preserve">-</t>
        </is>
      </c>
      <c r="C116" s="59">
        <v>0</v>
      </c>
      <c r="D116" s="60">
        <v>0</v>
      </c>
      <c r="E116" s="67">
        <f>SUM(C116*D116)</f>
      </c>
      <c r="F116" s="60">
        <v>0</v>
      </c>
      <c r="G116" s="61">
        <f>F116*C116</f>
      </c>
      <c r="H116" s="60">
        <v>0</v>
      </c>
      <c r="I116" s="67">
        <f>SUM(H116*C116)</f>
      </c>
      <c r="J116" s="60">
        <v>0</v>
      </c>
      <c r="K116" s="67">
        <f>SUM(J116*C116)</f>
      </c>
      <c r="L116" s="60">
        <v>0</v>
      </c>
      <c r="M116" s="68">
        <f>SUM(L116*C116)</f>
      </c>
      <c r="N116" s="15"/>
      <c r="O116" s="64" t="inlineStr">
        <is>
          <t xml:space="preserve"/>
        </is>
      </c>
      <c r="P116" s="65"/>
      <c r="Q116" s="65"/>
      <c r="R116" s="65"/>
      <c r="S116" s="66"/>
      <c r="T116" s="15"/>
      <c r="U116" s="15"/>
    </row>
    <row r="117" spans="1:21" ht="15" customHeight="1" x14ac:dyDescent="0.2">
      <c r="A117" s="77" t="inlineStr">
        <is>
          <t xml:space="preserve"/>
        </is>
      </c>
      <c r="B117" s="77" t="inlineStr">
        <is>
          <t xml:space="preserve">-</t>
        </is>
      </c>
      <c r="C117" s="59">
        <v>0</v>
      </c>
      <c r="D117" s="60">
        <v>0</v>
      </c>
      <c r="E117" s="67">
        <f>SUM(C117*D117)</f>
      </c>
      <c r="F117" s="60">
        <v>0</v>
      </c>
      <c r="G117" s="61">
        <f>F117*C117</f>
      </c>
      <c r="H117" s="60">
        <v>0</v>
      </c>
      <c r="I117" s="67">
        <f>SUM(H117*C117)</f>
      </c>
      <c r="J117" s="60">
        <v>0</v>
      </c>
      <c r="K117" s="67">
        <f>SUM(J117*C117)</f>
      </c>
      <c r="L117" s="60">
        <v>0</v>
      </c>
      <c r="M117" s="68">
        <f>SUM(L117*C117)</f>
      </c>
      <c r="N117" s="15"/>
      <c r="O117" s="64" t="inlineStr">
        <is>
          <t xml:space="preserve"/>
        </is>
      </c>
      <c r="P117" s="65"/>
      <c r="Q117" s="65"/>
      <c r="R117" s="65"/>
      <c r="S117" s="66"/>
      <c r="T117" s="15"/>
      <c r="U117" s="15"/>
    </row>
    <row r="118" spans="1:21" ht="15" customHeight="1" x14ac:dyDescent="0.2">
      <c r="A118" s="77" t="inlineStr">
        <is>
          <t xml:space="preserve"/>
        </is>
      </c>
      <c r="B118" s="77" t="inlineStr">
        <is>
          <t xml:space="preserve">-</t>
        </is>
      </c>
      <c r="C118" s="59">
        <v>0</v>
      </c>
      <c r="D118" s="60">
        <v>0</v>
      </c>
      <c r="E118" s="67">
        <f>SUM(C118*D118)</f>
      </c>
      <c r="F118" s="60">
        <v>0</v>
      </c>
      <c r="G118" s="61">
        <f>F118*C118</f>
      </c>
      <c r="H118" s="60">
        <v>0</v>
      </c>
      <c r="I118" s="67">
        <f>SUM(H118*C118)</f>
      </c>
      <c r="J118" s="60">
        <v>0</v>
      </c>
      <c r="K118" s="67">
        <f>SUM(J118*C118)</f>
      </c>
      <c r="L118" s="60">
        <v>0</v>
      </c>
      <c r="M118" s="68">
        <f>SUM(L118*C118)</f>
      </c>
      <c r="N118" s="15"/>
      <c r="O118" s="64" t="inlineStr">
        <is>
          <t xml:space="preserve"/>
        </is>
      </c>
      <c r="P118" s="65"/>
      <c r="Q118" s="65"/>
      <c r="R118" s="65"/>
      <c r="S118" s="66"/>
      <c r="T118" s="15"/>
      <c r="U118" s="15"/>
    </row>
    <row r="119" spans="1:21" ht="15" customHeight="1" x14ac:dyDescent="0.2">
      <c r="A119" s="77" t="inlineStr">
        <is>
          <t xml:space="preserve"/>
        </is>
      </c>
      <c r="B119" s="77" t="inlineStr">
        <is>
          <t xml:space="preserve">-</t>
        </is>
      </c>
      <c r="C119" s="59">
        <v>0</v>
      </c>
      <c r="D119" s="60">
        <v>0</v>
      </c>
      <c r="E119" s="67">
        <f>SUM(C119*D119)</f>
      </c>
      <c r="F119" s="60">
        <v>0</v>
      </c>
      <c r="G119" s="61">
        <f>F119*C119</f>
      </c>
      <c r="H119" s="60">
        <v>0</v>
      </c>
      <c r="I119" s="67">
        <f>SUM(H119*C119)</f>
      </c>
      <c r="J119" s="60">
        <v>0</v>
      </c>
      <c r="K119" s="67">
        <f>SUM(J119*C119)</f>
      </c>
      <c r="L119" s="60">
        <v>0</v>
      </c>
      <c r="M119" s="68">
        <f>SUM(L119*C119)</f>
      </c>
      <c r="N119" s="15"/>
      <c r="O119" s="64" t="inlineStr">
        <is>
          <t xml:space="preserve"/>
        </is>
      </c>
      <c r="P119" s="65"/>
      <c r="Q119" s="65"/>
      <c r="R119" s="65"/>
      <c r="S119" s="66"/>
      <c r="T119" s="15"/>
      <c r="U119" s="15"/>
    </row>
    <row r="120" spans="1:21" ht="15" customHeight="1" x14ac:dyDescent="0.2">
      <c r="A120" s="77" t="inlineStr">
        <is>
          <t xml:space="preserve"/>
        </is>
      </c>
      <c r="B120" s="77" t="inlineStr">
        <is>
          <t xml:space="preserve">-</t>
        </is>
      </c>
      <c r="C120" s="59">
        <v>0</v>
      </c>
      <c r="D120" s="60">
        <v>0</v>
      </c>
      <c r="E120" s="67">
        <f>SUM(C120*D120)</f>
      </c>
      <c r="F120" s="60">
        <v>0</v>
      </c>
      <c r="G120" s="61">
        <f>F120*C120</f>
      </c>
      <c r="H120" s="60">
        <v>0</v>
      </c>
      <c r="I120" s="67">
        <f>SUM(H120*C120)</f>
      </c>
      <c r="J120" s="60">
        <v>0</v>
      </c>
      <c r="K120" s="67">
        <f>SUM(J120*C120)</f>
      </c>
      <c r="L120" s="60">
        <v>0</v>
      </c>
      <c r="M120" s="68">
        <f>SUM(L120*C120)</f>
      </c>
      <c r="N120" s="15"/>
      <c r="O120" s="64" t="inlineStr">
        <is>
          <t xml:space="preserve"/>
        </is>
      </c>
      <c r="P120" s="65"/>
      <c r="Q120" s="65"/>
      <c r="R120" s="65"/>
      <c r="S120" s="66"/>
      <c r="T120" s="15"/>
      <c r="U120" s="15"/>
    </row>
    <row r="121" spans="1:21" ht="15" customHeight="1" x14ac:dyDescent="0.2">
      <c r="A121" s="77" t="inlineStr">
        <is>
          <t xml:space="preserve"/>
        </is>
      </c>
      <c r="B121" s="77" t="inlineStr">
        <is>
          <t xml:space="preserve">-</t>
        </is>
      </c>
      <c r="C121" s="59">
        <v>0</v>
      </c>
      <c r="D121" s="60">
        <v>0</v>
      </c>
      <c r="E121" s="67">
        <f>SUM(C121*D121)</f>
      </c>
      <c r="F121" s="60">
        <v>0</v>
      </c>
      <c r="G121" s="61">
        <f>F121*C121</f>
      </c>
      <c r="H121" s="60">
        <v>0</v>
      </c>
      <c r="I121" s="67">
        <f>SUM(H121*C121)</f>
      </c>
      <c r="J121" s="60">
        <v>0</v>
      </c>
      <c r="K121" s="67">
        <f>SUM(J121*C121)</f>
      </c>
      <c r="L121" s="60">
        <v>0</v>
      </c>
      <c r="M121" s="68">
        <f>SUM(L121*C121)</f>
      </c>
      <c r="N121" s="15"/>
      <c r="O121" s="64" t="inlineStr">
        <is>
          <t xml:space="preserve"/>
        </is>
      </c>
      <c r="P121" s="65"/>
      <c r="Q121" s="65"/>
      <c r="R121" s="65"/>
      <c r="S121" s="66"/>
      <c r="T121" s="15"/>
      <c r="U121" s="15"/>
    </row>
    <row r="122" spans="1:21" ht="15" customHeight="1" x14ac:dyDescent="0.2">
      <c r="A122" s="77" t="inlineStr">
        <is>
          <t xml:space="preserve"/>
        </is>
      </c>
      <c r="B122" s="77" t="inlineStr">
        <is>
          <t xml:space="preserve">-</t>
        </is>
      </c>
      <c r="C122" s="59">
        <v>0</v>
      </c>
      <c r="D122" s="60">
        <v>0</v>
      </c>
      <c r="E122" s="67">
        <f>SUM(C122*D122)</f>
      </c>
      <c r="F122" s="60">
        <v>0</v>
      </c>
      <c r="G122" s="61">
        <f>F122*C122</f>
      </c>
      <c r="H122" s="60">
        <v>0</v>
      </c>
      <c r="I122" s="67">
        <f>SUM(H122*C122)</f>
      </c>
      <c r="J122" s="60">
        <v>0</v>
      </c>
      <c r="K122" s="67">
        <f>SUM(J122*C122)</f>
      </c>
      <c r="L122" s="60">
        <v>0</v>
      </c>
      <c r="M122" s="68">
        <f>SUM(L122*C122)</f>
      </c>
      <c r="N122" s="15"/>
      <c r="O122" s="64" t="inlineStr">
        <is>
          <t xml:space="preserve"/>
        </is>
      </c>
      <c r="P122" s="65"/>
      <c r="Q122" s="65"/>
      <c r="R122" s="65"/>
      <c r="S122" s="66"/>
      <c r="T122" s="15"/>
      <c r="U122" s="15"/>
    </row>
    <row r="123" spans="1:21" ht="15" customHeight="1" x14ac:dyDescent="0.2">
      <c r="A123" s="77" t="inlineStr">
        <is>
          <t xml:space="preserve"/>
        </is>
      </c>
      <c r="B123" s="77" t="inlineStr">
        <is>
          <t xml:space="preserve">-</t>
        </is>
      </c>
      <c r="C123" s="59">
        <v>0</v>
      </c>
      <c r="D123" s="60">
        <v>0</v>
      </c>
      <c r="E123" s="67">
        <f>SUM(C123*D123)</f>
      </c>
      <c r="F123" s="60">
        <v>0</v>
      </c>
      <c r="G123" s="61">
        <f>F123*C123</f>
      </c>
      <c r="H123" s="60">
        <v>0</v>
      </c>
      <c r="I123" s="67">
        <f>SUM(H123*C123)</f>
      </c>
      <c r="J123" s="60">
        <v>0</v>
      </c>
      <c r="K123" s="67">
        <f>SUM(J123*C123)</f>
      </c>
      <c r="L123" s="60">
        <v>0</v>
      </c>
      <c r="M123" s="68">
        <f>SUM(L123*C123)</f>
      </c>
      <c r="N123" s="15"/>
      <c r="O123" s="64" t="inlineStr">
        <is>
          <t xml:space="preserve"/>
        </is>
      </c>
      <c r="P123" s="65"/>
      <c r="Q123" s="65"/>
      <c r="R123" s="65"/>
      <c r="S123" s="66"/>
      <c r="T123" s="15"/>
      <c r="U123" s="15"/>
    </row>
    <row r="124" spans="1:21" ht="15" customHeight="1" x14ac:dyDescent="0.2">
      <c r="A124" s="77" t="inlineStr">
        <is>
          <t xml:space="preserve"/>
        </is>
      </c>
      <c r="B124" s="77" t="inlineStr">
        <is>
          <t xml:space="preserve">-</t>
        </is>
      </c>
      <c r="C124" s="59">
        <v>0</v>
      </c>
      <c r="D124" s="60">
        <v>0</v>
      </c>
      <c r="E124" s="67">
        <f>SUM(C124*D124)</f>
      </c>
      <c r="F124" s="60">
        <v>0</v>
      </c>
      <c r="G124" s="61">
        <f>F124*C124</f>
      </c>
      <c r="H124" s="60">
        <v>0</v>
      </c>
      <c r="I124" s="67">
        <f>SUM(H124*C124)</f>
      </c>
      <c r="J124" s="60">
        <v>0</v>
      </c>
      <c r="K124" s="67">
        <f>SUM(J124*C124)</f>
      </c>
      <c r="L124" s="60">
        <v>0</v>
      </c>
      <c r="M124" s="68">
        <f>SUM(L124*C124)</f>
      </c>
      <c r="N124" s="15"/>
      <c r="O124" s="64" t="inlineStr">
        <is>
          <t xml:space="preserve"/>
        </is>
      </c>
      <c r="P124" s="65"/>
      <c r="Q124" s="65"/>
      <c r="R124" s="65"/>
      <c r="S124" s="66"/>
      <c r="T124" s="15"/>
      <c r="U124" s="15"/>
    </row>
    <row r="125" spans="1:21" ht="15" customHeight="1" x14ac:dyDescent="0.2">
      <c r="A125" s="77" t="inlineStr">
        <is>
          <t xml:space="preserve"/>
        </is>
      </c>
      <c r="B125" s="77" t="inlineStr">
        <is>
          <t xml:space="preserve">-</t>
        </is>
      </c>
      <c r="C125" s="59">
        <v>0</v>
      </c>
      <c r="D125" s="60">
        <v>0</v>
      </c>
      <c r="E125" s="67">
        <f>SUM(C125*D125)</f>
      </c>
      <c r="F125" s="60">
        <v>0</v>
      </c>
      <c r="G125" s="61">
        <f>F125*C125</f>
      </c>
      <c r="H125" s="60">
        <v>0</v>
      </c>
      <c r="I125" s="67">
        <f>SUM(H125*C125)</f>
      </c>
      <c r="J125" s="60">
        <v>0</v>
      </c>
      <c r="K125" s="67">
        <f>SUM(J125*C125)</f>
      </c>
      <c r="L125" s="60">
        <v>0</v>
      </c>
      <c r="M125" s="68">
        <f>SUM(L125*C125)</f>
      </c>
      <c r="N125" s="15"/>
      <c r="O125" s="64" t="inlineStr">
        <is>
          <t xml:space="preserve"/>
        </is>
      </c>
      <c r="P125" s="65"/>
      <c r="Q125" s="65"/>
      <c r="R125" s="65"/>
      <c r="S125" s="66"/>
      <c r="T125" s="15"/>
      <c r="U125" s="15"/>
    </row>
    <row r="126" spans="1:21" ht="15" customHeight="1" x14ac:dyDescent="0.2">
      <c r="A126" s="81" t="inlineStr">
        <is>
          <t xml:space="preserve"/>
        </is>
      </c>
      <c r="B126" s="77" t="inlineStr">
        <is>
          <t xml:space="preserve">-</t>
        </is>
      </c>
      <c r="C126" s="59">
        <v>0</v>
      </c>
      <c r="D126" s="60">
        <v>0</v>
      </c>
      <c r="E126" s="67">
        <f>SUM(C126*D126)</f>
      </c>
      <c r="F126" s="60">
        <v>0</v>
      </c>
      <c r="G126" s="67">
        <f>SUM(F126*C126)</f>
      </c>
      <c r="H126" s="60">
        <v>0</v>
      </c>
      <c r="I126" s="67">
        <f>SUM(H126*C126)</f>
      </c>
      <c r="J126" s="60">
        <v>0</v>
      </c>
      <c r="K126" s="67">
        <f>SUM(J126*C126)</f>
      </c>
      <c r="L126" s="60">
        <v>0</v>
      </c>
      <c r="M126" s="68">
        <f>SUM(L126*C126)</f>
      </c>
      <c r="N126" s="15"/>
      <c r="O126" s="5" t="inlineStr">
        <is>
          <t xml:space="preserve"/>
        </is>
      </c>
      <c r="P126" s="5"/>
      <c r="Q126" s="5"/>
      <c r="R126" s="5"/>
      <c r="S126" s="5"/>
      <c r="T126" s="15"/>
      <c r="U126" s="15"/>
    </row>
    <row r="127" spans="1:21" ht="15" customHeight="1" x14ac:dyDescent="0.2">
      <c r="A127" s="69" t="s">
        <v>33</v>
      </c>
      <c r="B127" s="78"/>
      <c r="C127" s="71"/>
      <c r="D127" s="72"/>
      <c r="E127" s="79"/>
      <c r="F127" s="72"/>
      <c r="G127" s="79"/>
      <c r="H127" s="72"/>
      <c r="I127" s="79"/>
      <c r="J127" s="72"/>
      <c r="K127" s="79"/>
      <c r="L127" s="72"/>
      <c r="M127" s="80"/>
      <c r="N127" s="15"/>
      <c r="O127" s="76"/>
      <c r="P127" s="76"/>
      <c r="Q127" s="76"/>
      <c r="R127" s="76"/>
      <c r="S127" s="76"/>
      <c r="T127" s="15"/>
      <c r="U127" s="15"/>
    </row>
    <row r="128" spans="1:21" ht="15" customHeight="1" x14ac:dyDescent="0.2">
      <c r="A128" s="82" t="inlineStr">
        <is>
          <t xml:space="preserve"/>
        </is>
      </c>
      <c r="B128" s="83" t="inlineStr">
        <is>
          <t xml:space="preserve">-</t>
        </is>
      </c>
      <c r="C128" s="59">
        <v>0</v>
      </c>
      <c r="D128" s="60">
        <v>0</v>
      </c>
      <c r="E128" s="67">
        <f>SUM(C128*D128)</f>
      </c>
      <c r="F128" s="60">
        <v>0</v>
      </c>
      <c r="G128" s="67">
        <f>F128*C128</f>
      </c>
      <c r="H128" s="60">
        <v>0</v>
      </c>
      <c r="I128" s="67">
        <f>SUM(H128*C128)</f>
      </c>
      <c r="J128" s="60">
        <v>0</v>
      </c>
      <c r="K128" s="67">
        <f>SUM(J128*C128)</f>
      </c>
      <c r="L128" s="60">
        <v>0</v>
      </c>
      <c r="M128" s="68">
        <f>SUM(L128*C128)</f>
      </c>
      <c r="N128" s="15"/>
      <c r="O128" s="5" t="inlineStr">
        <is>
          <t xml:space="preserve"/>
        </is>
      </c>
      <c r="P128" s="5"/>
      <c r="Q128" s="5"/>
      <c r="R128" s="5"/>
      <c r="S128" s="5"/>
      <c r="T128" s="15"/>
      <c r="U128" s="15"/>
    </row>
    <row r="129" spans="1:21" ht="15" customHeight="1" x14ac:dyDescent="0.2">
      <c r="A129" s="82" t="inlineStr">
        <is>
          <t xml:space="preserve"/>
        </is>
      </c>
      <c r="B129" s="83" t="inlineStr">
        <is>
          <t xml:space="preserve">-</t>
        </is>
      </c>
      <c r="C129" s="59">
        <v>0</v>
      </c>
      <c r="D129" s="60">
        <v>0</v>
      </c>
      <c r="E129" s="67">
        <f>SUM(C129*D129)</f>
      </c>
      <c r="F129" s="60">
        <v>0</v>
      </c>
      <c r="G129" s="67">
        <f>F129*C129</f>
      </c>
      <c r="H129" s="60">
        <v>0</v>
      </c>
      <c r="I129" s="67">
        <f>SUM(H129*C129)</f>
      </c>
      <c r="J129" s="60">
        <v>0</v>
      </c>
      <c r="K129" s="67">
        <f>SUM(J129*C129)</f>
      </c>
      <c r="L129" s="60">
        <v>0</v>
      </c>
      <c r="M129" s="68">
        <f>SUM(L129*C129)</f>
      </c>
      <c r="N129" s="15"/>
      <c r="O129" s="64" t="inlineStr">
        <is>
          <t xml:space="preserve"/>
        </is>
      </c>
      <c r="P129" s="65"/>
      <c r="Q129" s="65"/>
      <c r="R129" s="65"/>
      <c r="S129" s="66"/>
      <c r="T129" s="15"/>
      <c r="U129" s="15"/>
    </row>
    <row r="130" spans="1:21" ht="15" customHeight="1" x14ac:dyDescent="0.2">
      <c r="A130" s="82" t="inlineStr">
        <is>
          <t xml:space="preserve"/>
        </is>
      </c>
      <c r="B130" s="83" t="inlineStr">
        <is>
          <t xml:space="preserve">-</t>
        </is>
      </c>
      <c r="C130" s="59">
        <v>0</v>
      </c>
      <c r="D130" s="60">
        <v>0</v>
      </c>
      <c r="E130" s="67">
        <f>SUM(C130*D130)</f>
      </c>
      <c r="F130" s="60">
        <v>0</v>
      </c>
      <c r="G130" s="67">
        <f>F130*C130</f>
      </c>
      <c r="H130" s="60">
        <v>0</v>
      </c>
      <c r="I130" s="67">
        <f>SUM(H130*C130)</f>
      </c>
      <c r="J130" s="60">
        <v>0</v>
      </c>
      <c r="K130" s="67">
        <f>SUM(J130*C130)</f>
      </c>
      <c r="L130" s="60">
        <v>0</v>
      </c>
      <c r="M130" s="68">
        <f>SUM(L130*C130)</f>
      </c>
      <c r="N130" s="15"/>
      <c r="O130" s="64" t="inlineStr">
        <is>
          <t xml:space="preserve"/>
        </is>
      </c>
      <c r="P130" s="65"/>
      <c r="Q130" s="65"/>
      <c r="R130" s="65"/>
      <c r="S130" s="66"/>
      <c r="T130" s="15"/>
      <c r="U130" s="15"/>
    </row>
    <row r="131" spans="1:21" ht="15" customHeight="1" x14ac:dyDescent="0.2">
      <c r="A131" s="82" t="inlineStr">
        <is>
          <t xml:space="preserve"/>
        </is>
      </c>
      <c r="B131" s="83" t="inlineStr">
        <is>
          <t xml:space="preserve">-</t>
        </is>
      </c>
      <c r="C131" s="59">
        <v>0</v>
      </c>
      <c r="D131" s="60">
        <v>0</v>
      </c>
      <c r="E131" s="67">
        <f>SUM(C131*D131)</f>
      </c>
      <c r="F131" s="60">
        <v>0</v>
      </c>
      <c r="G131" s="67">
        <f>F131*C131</f>
      </c>
      <c r="H131" s="60">
        <v>0</v>
      </c>
      <c r="I131" s="67">
        <f>SUM(H131*C131)</f>
      </c>
      <c r="J131" s="60">
        <v>0</v>
      </c>
      <c r="K131" s="67">
        <f>SUM(J131*C131)</f>
      </c>
      <c r="L131" s="60">
        <v>0</v>
      </c>
      <c r="M131" s="68">
        <f>SUM(L131*C131)</f>
      </c>
      <c r="N131" s="15"/>
      <c r="O131" s="5" t="inlineStr">
        <is>
          <t xml:space="preserve"/>
        </is>
      </c>
      <c r="P131" s="5"/>
      <c r="Q131" s="5"/>
      <c r="R131" s="5"/>
      <c r="S131" s="5"/>
      <c r="T131" s="15"/>
      <c r="U131" s="15"/>
    </row>
    <row r="132" spans="1:21" ht="15" customHeight="1" x14ac:dyDescent="0.2">
      <c r="A132" s="82" t="inlineStr">
        <is>
          <t xml:space="preserve"/>
        </is>
      </c>
      <c r="B132" s="83" t="inlineStr">
        <is>
          <t xml:space="preserve">-</t>
        </is>
      </c>
      <c r="C132" s="59">
        <v>0</v>
      </c>
      <c r="D132" s="60">
        <v>0</v>
      </c>
      <c r="E132" s="67">
        <f>SUM(C132*D132)</f>
      </c>
      <c r="F132" s="60">
        <v>0</v>
      </c>
      <c r="G132" s="67">
        <f>F132*C132</f>
      </c>
      <c r="H132" s="60">
        <v>0</v>
      </c>
      <c r="I132" s="67">
        <f>SUM(H132*C132)</f>
      </c>
      <c r="J132" s="60">
        <v>0</v>
      </c>
      <c r="K132" s="67">
        <f>SUM(J132*C132)</f>
      </c>
      <c r="L132" s="60">
        <v>0</v>
      </c>
      <c r="M132" s="68">
        <f>SUM(L132*C132)</f>
      </c>
      <c r="N132" s="15"/>
      <c r="O132" s="5" t="inlineStr">
        <is>
          <t xml:space="preserve"/>
        </is>
      </c>
      <c r="P132" s="5"/>
      <c r="Q132" s="5"/>
      <c r="R132" s="5"/>
      <c r="S132" s="5"/>
      <c r="T132" s="15"/>
      <c r="U132" s="15"/>
    </row>
    <row r="133" spans="1:21" ht="15" customHeight="1" x14ac:dyDescent="0.2">
      <c r="A133" s="82" t="inlineStr">
        <is>
          <t xml:space="preserve"/>
        </is>
      </c>
      <c r="B133" s="83" t="inlineStr">
        <is>
          <t xml:space="preserve">-</t>
        </is>
      </c>
      <c r="C133" s="59">
        <v>0</v>
      </c>
      <c r="D133" s="60">
        <v>0</v>
      </c>
      <c r="E133" s="67">
        <f>SUM(C133*D133)</f>
      </c>
      <c r="F133" s="60">
        <v>0</v>
      </c>
      <c r="G133" s="67">
        <f>F133*C133</f>
      </c>
      <c r="H133" s="60">
        <v>0</v>
      </c>
      <c r="I133" s="67">
        <f>SUM(H133*C133)</f>
      </c>
      <c r="J133" s="60">
        <v>0</v>
      </c>
      <c r="K133" s="67">
        <f>SUM(J133*C133)</f>
      </c>
      <c r="L133" s="60">
        <v>0</v>
      </c>
      <c r="M133" s="68">
        <f>SUM(L133*C133)</f>
      </c>
      <c r="N133" s="15"/>
      <c r="O133" s="5" t="inlineStr">
        <is>
          <t xml:space="preserve"/>
        </is>
      </c>
      <c r="P133" s="5"/>
      <c r="Q133" s="5"/>
      <c r="R133" s="5"/>
      <c r="S133" s="5"/>
      <c r="T133" s="15"/>
      <c r="U133" s="15"/>
    </row>
    <row r="134" spans="1:21" ht="15" customHeight="1" x14ac:dyDescent="0.2">
      <c r="A134" s="82" t="inlineStr">
        <is>
          <t xml:space="preserve"/>
        </is>
      </c>
      <c r="B134" s="83" t="inlineStr">
        <is>
          <t xml:space="preserve">-</t>
        </is>
      </c>
      <c r="C134" s="59">
        <v>0</v>
      </c>
      <c r="D134" s="60">
        <v>0</v>
      </c>
      <c r="E134" s="67">
        <f>SUM(C134*D134)</f>
      </c>
      <c r="F134" s="60">
        <v>0</v>
      </c>
      <c r="G134" s="67">
        <f>F134*C134</f>
      </c>
      <c r="H134" s="60">
        <v>0</v>
      </c>
      <c r="I134" s="67">
        <f>SUM(H134*C134)</f>
      </c>
      <c r="J134" s="60">
        <v>0</v>
      </c>
      <c r="K134" s="67">
        <f>SUM(J134*C134)</f>
      </c>
      <c r="L134" s="60">
        <v>0</v>
      </c>
      <c r="M134" s="68">
        <f>SUM(L134*C134)</f>
      </c>
      <c r="N134" s="15"/>
      <c r="O134" s="5" t="inlineStr">
        <is>
          <t xml:space="preserve"/>
        </is>
      </c>
      <c r="P134" s="5"/>
      <c r="Q134" s="5"/>
      <c r="R134" s="5"/>
      <c r="S134" s="5"/>
      <c r="T134" s="15"/>
      <c r="U134" s="15"/>
    </row>
    <row r="135" spans="1:21" ht="15" customHeight="1" x14ac:dyDescent="0.2">
      <c r="A135" s="82" t="inlineStr">
        <is>
          <t xml:space="preserve"/>
        </is>
      </c>
      <c r="B135" s="83" t="inlineStr">
        <is>
          <t xml:space="preserve">-</t>
        </is>
      </c>
      <c r="C135" s="59">
        <v>0</v>
      </c>
      <c r="D135" s="60">
        <v>0</v>
      </c>
      <c r="E135" s="67">
        <f>SUM(C135*D135)</f>
      </c>
      <c r="F135" s="60">
        <v>0</v>
      </c>
      <c r="G135" s="67">
        <f>F135*C135</f>
      </c>
      <c r="H135" s="60">
        <v>0</v>
      </c>
      <c r="I135" s="67">
        <f>SUM(H135*C135)</f>
      </c>
      <c r="J135" s="60">
        <v>0</v>
      </c>
      <c r="K135" s="67">
        <f>SUM(J135*C135)</f>
      </c>
      <c r="L135" s="60">
        <v>0</v>
      </c>
      <c r="M135" s="68">
        <f>SUM(L135*C135)</f>
      </c>
      <c r="N135" s="15"/>
      <c r="O135" s="64" t="inlineStr">
        <is>
          <t xml:space="preserve"/>
        </is>
      </c>
      <c r="P135" s="84"/>
      <c r="Q135" s="84"/>
      <c r="R135" s="84"/>
      <c r="S135" s="85"/>
      <c r="T135" s="15"/>
      <c r="U135" s="15"/>
    </row>
    <row r="136" spans="1:21" ht="15" customHeight="1" x14ac:dyDescent="0.2">
      <c r="A136" s="82" t="inlineStr">
        <is>
          <t xml:space="preserve"/>
        </is>
      </c>
      <c r="B136" s="83" t="inlineStr">
        <is>
          <t xml:space="preserve">-</t>
        </is>
      </c>
      <c r="C136" s="59">
        <v>0</v>
      </c>
      <c r="D136" s="60">
        <v>0</v>
      </c>
      <c r="E136" s="67">
        <f>SUM(C136*D136)</f>
      </c>
      <c r="F136" s="60">
        <v>0</v>
      </c>
      <c r="G136" s="67">
        <f>F136*C136</f>
      </c>
      <c r="H136" s="60">
        <v>0</v>
      </c>
      <c r="I136" s="67">
        <f>SUM(H136*C136)</f>
      </c>
      <c r="J136" s="60">
        <v>0</v>
      </c>
      <c r="K136" s="67">
        <f>SUM(J136*C136)</f>
      </c>
      <c r="L136" s="60">
        <v>0</v>
      </c>
      <c r="M136" s="68">
        <f>SUM(L136*C136)</f>
      </c>
      <c r="N136" s="15"/>
      <c r="O136" s="5" t="inlineStr">
        <is>
          <t xml:space="preserve"/>
        </is>
      </c>
      <c r="P136" s="5"/>
      <c r="Q136" s="5"/>
      <c r="R136" s="5"/>
      <c r="S136" s="5"/>
      <c r="T136" s="86"/>
      <c r="U136" s="86"/>
    </row>
    <row r="137" spans="1:21" ht="15" customHeight="1" x14ac:dyDescent="0.2">
      <c r="A137" s="82" t="inlineStr">
        <is>
          <t xml:space="preserve"/>
        </is>
      </c>
      <c r="B137" s="83" t="inlineStr">
        <is>
          <t xml:space="preserve">-</t>
        </is>
      </c>
      <c r="C137" s="59">
        <v>0</v>
      </c>
      <c r="D137" s="60">
        <v>0</v>
      </c>
      <c r="E137" s="67">
        <f>SUM(C137*D137)</f>
      </c>
      <c r="F137" s="60">
        <v>0</v>
      </c>
      <c r="G137" s="67">
        <f>F137*C137</f>
      </c>
      <c r="H137" s="60">
        <v>0</v>
      </c>
      <c r="I137" s="67">
        <f>SUM(H137*C137)</f>
      </c>
      <c r="J137" s="60">
        <v>0</v>
      </c>
      <c r="K137" s="67">
        <f>SUM(J137*C137)</f>
      </c>
      <c r="L137" s="60">
        <v>0</v>
      </c>
      <c r="M137" s="68">
        <f>SUM(L137*C137)</f>
      </c>
      <c r="N137" s="15"/>
      <c r="O137" s="5" t="inlineStr">
        <is>
          <t xml:space="preserve"/>
        </is>
      </c>
      <c r="P137" s="5"/>
      <c r="Q137" s="5"/>
      <c r="R137" s="5"/>
      <c r="S137" s="5"/>
      <c r="T137" s="86"/>
      <c r="U137" s="86"/>
    </row>
    <row r="138" spans="1:21" ht="15" customHeight="1" x14ac:dyDescent="0.2">
      <c r="A138" s="82" t="inlineStr">
        <is>
          <t xml:space="preserve"/>
        </is>
      </c>
      <c r="B138" s="83" t="inlineStr">
        <is>
          <t xml:space="preserve">-</t>
        </is>
      </c>
      <c r="C138" s="59">
        <v>0</v>
      </c>
      <c r="D138" s="60">
        <v>0</v>
      </c>
      <c r="E138" s="67">
        <f>SUM(C138*D138)</f>
      </c>
      <c r="F138" s="60">
        <v>0</v>
      </c>
      <c r="G138" s="67">
        <f>F138*C138</f>
      </c>
      <c r="H138" s="60">
        <v>0</v>
      </c>
      <c r="I138" s="67">
        <f>SUM(H138*C138)</f>
      </c>
      <c r="J138" s="60">
        <v>0</v>
      </c>
      <c r="K138" s="67">
        <f>SUM(J138*C138)</f>
      </c>
      <c r="L138" s="60">
        <v>0</v>
      </c>
      <c r="M138" s="68">
        <f>SUM(L138*C138)</f>
      </c>
      <c r="N138" s="15"/>
      <c r="O138" s="5" t="inlineStr">
        <is>
          <t xml:space="preserve"/>
        </is>
      </c>
      <c r="P138" s="5"/>
      <c r="Q138" s="5"/>
      <c r="R138" s="5"/>
      <c r="S138" s="5"/>
      <c r="T138" s="86"/>
      <c r="U138" s="86"/>
    </row>
    <row r="139" spans="1:21" ht="15" customHeight="1" x14ac:dyDescent="0.2">
      <c r="A139" s="82" t="inlineStr">
        <is>
          <t xml:space="preserve"/>
        </is>
      </c>
      <c r="B139" s="83" t="inlineStr">
        <is>
          <t xml:space="preserve">-</t>
        </is>
      </c>
      <c r="C139" s="59">
        <v>0</v>
      </c>
      <c r="D139" s="60">
        <v>0</v>
      </c>
      <c r="E139" s="67">
        <f>SUM(C139*D139)</f>
      </c>
      <c r="F139" s="60">
        <v>0</v>
      </c>
      <c r="G139" s="67">
        <f>F139*C139</f>
      </c>
      <c r="H139" s="60">
        <v>0</v>
      </c>
      <c r="I139" s="67">
        <f>SUM(H139*C139)</f>
      </c>
      <c r="J139" s="60">
        <v>0</v>
      </c>
      <c r="K139" s="67">
        <f>SUM(J139*C139)</f>
      </c>
      <c r="L139" s="60">
        <v>0</v>
      </c>
      <c r="M139" s="68">
        <f>SUM(L139*C139)</f>
      </c>
      <c r="N139" s="15"/>
      <c r="O139" s="5" t="inlineStr">
        <is>
          <t xml:space="preserve"/>
        </is>
      </c>
      <c r="P139" s="5"/>
      <c r="Q139" s="5"/>
      <c r="R139" s="5"/>
      <c r="S139" s="5"/>
      <c r="T139" s="15"/>
      <c r="U139" s="15"/>
    </row>
    <row r="140" spans="1:21" ht="15" customHeight="1" x14ac:dyDescent="0.2">
      <c r="A140" s="82" t="inlineStr">
        <is>
          <t xml:space="preserve"/>
        </is>
      </c>
      <c r="B140" s="83" t="inlineStr">
        <is>
          <t xml:space="preserve">-</t>
        </is>
      </c>
      <c r="C140" s="59">
        <v>0</v>
      </c>
      <c r="D140" s="60">
        <v>0</v>
      </c>
      <c r="E140" s="67">
        <f>SUM(C140*D140)</f>
      </c>
      <c r="F140" s="60">
        <v>0</v>
      </c>
      <c r="G140" s="67">
        <f>F140*C140</f>
      </c>
      <c r="H140" s="60">
        <v>0</v>
      </c>
      <c r="I140" s="67">
        <f>SUM(H140*C140)</f>
      </c>
      <c r="J140" s="60">
        <v>0</v>
      </c>
      <c r="K140" s="67">
        <f>SUM(J140*C140)</f>
      </c>
      <c r="L140" s="60">
        <v>0</v>
      </c>
      <c r="M140" s="68">
        <f>SUM(L140*C140)</f>
      </c>
      <c r="N140" s="15"/>
      <c r="O140" s="5" t="inlineStr">
        <is>
          <t xml:space="preserve"/>
        </is>
      </c>
      <c r="P140" s="5"/>
      <c r="Q140" s="5"/>
      <c r="R140" s="5"/>
      <c r="S140" s="5"/>
      <c r="T140" s="15"/>
      <c r="U140" s="15"/>
    </row>
    <row r="141" spans="1:21" ht="15" customHeight="1" x14ac:dyDescent="0.2">
      <c r="A141" s="82" t="inlineStr">
        <is>
          <t xml:space="preserve"/>
        </is>
      </c>
      <c r="B141" s="83" t="inlineStr">
        <is>
          <t xml:space="preserve">-</t>
        </is>
      </c>
      <c r="C141" s="59">
        <v>0</v>
      </c>
      <c r="D141" s="60">
        <v>0</v>
      </c>
      <c r="E141" s="67">
        <f>SUM(C141*D141)</f>
      </c>
      <c r="F141" s="60">
        <v>0</v>
      </c>
      <c r="G141" s="67">
        <f>F141*C141</f>
      </c>
      <c r="H141" s="60">
        <v>0</v>
      </c>
      <c r="I141" s="67">
        <f>SUM(H141*C141)</f>
      </c>
      <c r="J141" s="60">
        <v>0</v>
      </c>
      <c r="K141" s="67">
        <f>SUM(J141*C141)</f>
      </c>
      <c r="L141" s="60">
        <v>0</v>
      </c>
      <c r="M141" s="68">
        <f>SUM(L141*C141)</f>
      </c>
      <c r="N141" s="15"/>
      <c r="O141" s="5" t="inlineStr">
        <is>
          <t xml:space="preserve"/>
        </is>
      </c>
      <c r="P141" s="5"/>
      <c r="Q141" s="5"/>
      <c r="R141" s="5"/>
      <c r="S141" s="5"/>
      <c r="T141" s="15"/>
      <c r="U141" s="15"/>
    </row>
    <row r="142" spans="1:21" ht="15" customHeight="1" x14ac:dyDescent="0.2">
      <c r="A142" s="82" t="inlineStr">
        <is>
          <t xml:space="preserve"/>
        </is>
      </c>
      <c r="B142" s="83" t="inlineStr">
        <is>
          <t xml:space="preserve">-</t>
        </is>
      </c>
      <c r="C142" s="59">
        <v>0</v>
      </c>
      <c r="D142" s="60">
        <v>0</v>
      </c>
      <c r="E142" s="67">
        <f>SUM(C142*D142)</f>
      </c>
      <c r="F142" s="60">
        <v>0</v>
      </c>
      <c r="G142" s="67">
        <f>F142*C142</f>
      </c>
      <c r="H142" s="60">
        <v>0</v>
      </c>
      <c r="I142" s="67">
        <f>SUM(H142*C142)</f>
      </c>
      <c r="J142" s="60">
        <v>0</v>
      </c>
      <c r="K142" s="67">
        <f>SUM(J142*C142)</f>
      </c>
      <c r="L142" s="60">
        <v>0</v>
      </c>
      <c r="M142" s="68">
        <f>SUM(L142*C142)</f>
      </c>
      <c r="N142" s="15"/>
      <c r="O142" s="5" t="inlineStr">
        <is>
          <t xml:space="preserve"/>
        </is>
      </c>
      <c r="P142" s="5"/>
      <c r="Q142" s="5"/>
      <c r="R142" s="5"/>
      <c r="S142" s="5"/>
      <c r="T142" s="15"/>
      <c r="U142" s="15"/>
    </row>
    <row r="143" spans="1:21" ht="15" customHeight="1" x14ac:dyDescent="0.2">
      <c r="A143" s="82" t="inlineStr">
        <is>
          <t xml:space="preserve"/>
        </is>
      </c>
      <c r="B143" s="83" t="inlineStr">
        <is>
          <t xml:space="preserve">-</t>
        </is>
      </c>
      <c r="C143" s="59">
        <v>0</v>
      </c>
      <c r="D143" s="60">
        <v>0</v>
      </c>
      <c r="E143" s="67">
        <f>SUM(C143*D143)</f>
      </c>
      <c r="F143" s="60">
        <v>0</v>
      </c>
      <c r="G143" s="67">
        <f>F143*C143</f>
      </c>
      <c r="H143" s="60">
        <v>0</v>
      </c>
      <c r="I143" s="67">
        <f>SUM(H143*C143)</f>
      </c>
      <c r="J143" s="60">
        <v>0</v>
      </c>
      <c r="K143" s="67">
        <f>SUM(J143*C143)</f>
      </c>
      <c r="L143" s="60">
        <v>0</v>
      </c>
      <c r="M143" s="68">
        <f>SUM(L143*C143)</f>
      </c>
      <c r="N143" s="15"/>
      <c r="O143" s="5" t="inlineStr">
        <is>
          <t xml:space="preserve"/>
        </is>
      </c>
      <c r="P143" s="5"/>
      <c r="Q143" s="5"/>
      <c r="R143" s="5"/>
      <c r="S143" s="5"/>
      <c r="T143" s="15"/>
      <c r="U143" s="15"/>
    </row>
    <row r="144" spans="1:21" ht="15" customHeight="1" x14ac:dyDescent="0.2">
      <c r="A144" s="82" t="inlineStr">
        <is>
          <t xml:space="preserve"/>
        </is>
      </c>
      <c r="B144" s="83" t="inlineStr">
        <is>
          <t xml:space="preserve">-</t>
        </is>
      </c>
      <c r="C144" s="59">
        <v>0</v>
      </c>
      <c r="D144" s="60">
        <v>0</v>
      </c>
      <c r="E144" s="67">
        <f>SUM(C144*D144)</f>
      </c>
      <c r="F144" s="60">
        <v>0</v>
      </c>
      <c r="G144" s="67">
        <f>F144*C144</f>
      </c>
      <c r="H144" s="60">
        <v>0</v>
      </c>
      <c r="I144" s="67">
        <f>SUM(H144*C144)</f>
      </c>
      <c r="J144" s="60">
        <v>0</v>
      </c>
      <c r="K144" s="67">
        <f>SUM(J144*C144)</f>
      </c>
      <c r="L144" s="60">
        <v>0</v>
      </c>
      <c r="M144" s="68">
        <f>SUM(L144*C144)</f>
      </c>
      <c r="N144" s="15"/>
      <c r="O144" s="5" t="inlineStr">
        <is>
          <t xml:space="preserve"/>
        </is>
      </c>
      <c r="P144" s="5"/>
      <c r="Q144" s="5"/>
      <c r="R144" s="5"/>
      <c r="S144" s="5"/>
      <c r="T144" s="15"/>
      <c r="U144" s="15"/>
    </row>
    <row r="145" spans="1:21" ht="15" customHeight="1" x14ac:dyDescent="0.2">
      <c r="A145" s="82" t="inlineStr">
        <is>
          <t xml:space="preserve"/>
        </is>
      </c>
      <c r="B145" s="83" t="inlineStr">
        <is>
          <t xml:space="preserve">-</t>
        </is>
      </c>
      <c r="C145" s="59">
        <v>0</v>
      </c>
      <c r="D145" s="60">
        <v>0</v>
      </c>
      <c r="E145" s="67">
        <f>SUM(C145*D145)</f>
      </c>
      <c r="F145" s="60">
        <v>0</v>
      </c>
      <c r="G145" s="67">
        <f>F145*C145</f>
      </c>
      <c r="H145" s="60">
        <v>0</v>
      </c>
      <c r="I145" s="67">
        <f>SUM(H145*C145)</f>
      </c>
      <c r="J145" s="60">
        <v>0</v>
      </c>
      <c r="K145" s="67">
        <f>SUM(J145*C145)</f>
      </c>
      <c r="L145" s="60">
        <v>0</v>
      </c>
      <c r="M145" s="68">
        <f>SUM(L145*C145)</f>
      </c>
      <c r="N145" s="15"/>
      <c r="O145" s="5" t="inlineStr">
        <is>
          <t xml:space="preserve"/>
        </is>
      </c>
      <c r="P145" s="5"/>
      <c r="Q145" s="5"/>
      <c r="R145" s="5"/>
      <c r="S145" s="5"/>
      <c r="T145" s="15"/>
      <c r="U145" s="15"/>
    </row>
    <row r="146" spans="1:21" ht="15" customHeight="1" x14ac:dyDescent="0.2">
      <c r="A146" s="82" t="inlineStr">
        <is>
          <t xml:space="preserve"/>
        </is>
      </c>
      <c r="B146" s="83" t="inlineStr">
        <is>
          <t xml:space="preserve">-</t>
        </is>
      </c>
      <c r="C146" s="59">
        <v>0</v>
      </c>
      <c r="D146" s="60">
        <v>0</v>
      </c>
      <c r="E146" s="67">
        <f>SUM(C146*D146)</f>
      </c>
      <c r="F146" s="60">
        <v>0</v>
      </c>
      <c r="G146" s="67">
        <f>F146*C146</f>
      </c>
      <c r="H146" s="60">
        <v>0</v>
      </c>
      <c r="I146" s="67">
        <f>SUM(H146*C146)</f>
      </c>
      <c r="J146" s="60">
        <v>0</v>
      </c>
      <c r="K146" s="67">
        <f>SUM(J146*C146)</f>
      </c>
      <c r="L146" s="60">
        <v>0</v>
      </c>
      <c r="M146" s="68">
        <f>SUM(L146*C146)</f>
      </c>
      <c r="N146" s="15"/>
      <c r="O146" s="5" t="inlineStr">
        <is>
          <t xml:space="preserve"/>
        </is>
      </c>
      <c r="P146" s="5"/>
      <c r="Q146" s="5"/>
      <c r="R146" s="5"/>
      <c r="S146" s="5"/>
      <c r="T146" s="87"/>
      <c r="U146" s="87"/>
    </row>
    <row r="147" spans="1:21" ht="15" customHeight="1" x14ac:dyDescent="0.2">
      <c r="A147" s="82" t="inlineStr">
        <is>
          <t xml:space="preserve"/>
        </is>
      </c>
      <c r="B147" s="83" t="inlineStr">
        <is>
          <t xml:space="preserve">-</t>
        </is>
      </c>
      <c r="C147" s="59">
        <v>0</v>
      </c>
      <c r="D147" s="60">
        <v>0</v>
      </c>
      <c r="E147" s="67">
        <f>SUM(C147*D147)</f>
      </c>
      <c r="F147" s="60">
        <v>0</v>
      </c>
      <c r="G147" s="67">
        <f>F147*C147</f>
      </c>
      <c r="H147" s="60">
        <v>0</v>
      </c>
      <c r="I147" s="67">
        <f>SUM(H147*C147)</f>
      </c>
      <c r="J147" s="60">
        <v>0</v>
      </c>
      <c r="K147" s="67">
        <f>SUM(J147*C147)</f>
      </c>
      <c r="L147" s="60">
        <v>0</v>
      </c>
      <c r="M147" s="68">
        <f>SUM(L147*C147)</f>
      </c>
      <c r="N147" s="15"/>
      <c r="O147" s="64" t="inlineStr">
        <is>
          <t xml:space="preserve"/>
        </is>
      </c>
      <c r="P147" s="65"/>
      <c r="Q147" s="65"/>
      <c r="R147" s="65"/>
      <c r="S147" s="66"/>
      <c r="T147" s="15"/>
      <c r="U147" s="15"/>
    </row>
    <row r="148" spans="1:21" ht="15" customHeight="1" x14ac:dyDescent="0.2">
      <c r="A148" s="82" t="inlineStr">
        <is>
          <t xml:space="preserve"/>
        </is>
      </c>
      <c r="B148" s="83" t="inlineStr">
        <is>
          <t xml:space="preserve">-</t>
        </is>
      </c>
      <c r="C148" s="59">
        <v>0</v>
      </c>
      <c r="D148" s="60">
        <v>0</v>
      </c>
      <c r="E148" s="67">
        <f>SUM(C148*D148)</f>
      </c>
      <c r="F148" s="60">
        <v>0</v>
      </c>
      <c r="G148" s="67">
        <f>F148*C148</f>
      </c>
      <c r="H148" s="60">
        <v>0</v>
      </c>
      <c r="I148" s="67">
        <f>SUM(H148*C148)</f>
      </c>
      <c r="J148" s="60">
        <v>0</v>
      </c>
      <c r="K148" s="67">
        <f>SUM(J148*C148)</f>
      </c>
      <c r="L148" s="60">
        <v>0</v>
      </c>
      <c r="M148" s="68">
        <f>SUM(L148*C148)</f>
      </c>
      <c r="N148" s="15"/>
      <c r="O148" s="5" t="inlineStr">
        <is>
          <t xml:space="preserve"/>
        </is>
      </c>
      <c r="P148" s="5"/>
      <c r="Q148" s="5"/>
      <c r="R148" s="5"/>
      <c r="S148" s="5"/>
      <c r="T148" s="15"/>
      <c r="U148" s="15"/>
    </row>
    <row r="149" spans="1:21" ht="15" customHeight="1" x14ac:dyDescent="0.2">
      <c r="A149" s="82" t="inlineStr">
        <is>
          <t xml:space="preserve"/>
        </is>
      </c>
      <c r="B149" s="83" t="inlineStr">
        <is>
          <t xml:space="preserve">-</t>
        </is>
      </c>
      <c r="C149" s="59">
        <v>0</v>
      </c>
      <c r="D149" s="60">
        <v>0</v>
      </c>
      <c r="E149" s="67">
        <f>SUM(C149*D149)</f>
      </c>
      <c r="F149" s="60">
        <v>0</v>
      </c>
      <c r="G149" s="67">
        <f>F149*C149</f>
      </c>
      <c r="H149" s="60">
        <v>0</v>
      </c>
      <c r="I149" s="67">
        <f>SUM(H149*C149)</f>
      </c>
      <c r="J149" s="60">
        <v>0</v>
      </c>
      <c r="K149" s="67">
        <f>SUM(J149*C149)</f>
      </c>
      <c r="L149" s="60">
        <v>0</v>
      </c>
      <c r="M149" s="68">
        <f>SUM(L149*C149)</f>
      </c>
      <c r="N149" s="15"/>
      <c r="O149" s="5" t="inlineStr">
        <is>
          <t xml:space="preserve"/>
        </is>
      </c>
      <c r="P149" s="5"/>
      <c r="Q149" s="5"/>
      <c r="R149" s="5"/>
      <c r="S149" s="5"/>
      <c r="T149" s="15"/>
      <c r="U149" s="15"/>
    </row>
    <row r="150" spans="1:21" ht="15" customHeight="1" x14ac:dyDescent="0.2">
      <c r="A150" s="88" t="inlineStr">
        <is>
          <t xml:space="preserve"/>
        </is>
      </c>
      <c r="B150" s="89" t="inlineStr">
        <is>
          <t xml:space="preserve">-</t>
        </is>
      </c>
      <c r="C150" s="90">
        <v>0</v>
      </c>
      <c r="D150" s="91">
        <v>0</v>
      </c>
      <c r="E150" s="92">
        <f>SUM(C150*D150)</f>
      </c>
      <c r="F150" s="91">
        <v>0</v>
      </c>
      <c r="G150" s="92">
        <f>F150*C150</f>
      </c>
      <c r="H150" s="91">
        <v>0</v>
      </c>
      <c r="I150" s="92">
        <f>SUM(H150*C150)</f>
      </c>
      <c r="J150" s="91">
        <v>0</v>
      </c>
      <c r="K150" s="92">
        <f>SUM(J150*C150)</f>
      </c>
      <c r="L150" s="91">
        <v>0</v>
      </c>
      <c r="M150" s="93">
        <f>SUM(L150*C150)</f>
      </c>
      <c r="N150" s="15"/>
      <c r="O150" s="5" t="inlineStr">
        <is>
          <t xml:space="preserve"/>
        </is>
      </c>
      <c r="P150" s="5"/>
      <c r="Q150" s="5"/>
      <c r="R150" s="5"/>
      <c r="S150" s="5"/>
      <c r="T150" s="15"/>
      <c r="U150" s="15"/>
    </row>
    <row r="151" spans="1:21" s="15" customFormat="1" ht="15" customHeight="1" x14ac:dyDescent="0.2">
      <c r="A151" s="76"/>
      <c r="B151" s="76"/>
      <c r="C151" s="94"/>
      <c r="G151" s="32"/>
      <c r="J151" s="32"/>
      <c r="M151" s="32"/>
      <c r="P151" s="32"/>
      <c r="S151" s="32"/>
    </row>
    <row r="152" spans="1:21" s="15" customFormat="1" ht="15" customHeight="1" x14ac:dyDescent="0.2">
      <c r="C152" s="95"/>
      <c r="G152" s="32"/>
      <c r="J152" s="32"/>
      <c r="M152" s="32"/>
      <c r="P152" s="32"/>
      <c r="S152" s="32"/>
    </row>
    <row r="153" spans="1:21" s="15" customFormat="1" ht="15" customHeight="1" x14ac:dyDescent="0.2">
      <c r="C153" s="95"/>
      <c r="G153" s="32"/>
      <c r="J153" s="32"/>
      <c r="M153" s="32"/>
      <c r="P153" s="32"/>
      <c r="S153" s="32"/>
    </row>
    <row r="154" spans="1:21" s="15" customFormat="1" ht="15" customHeight="1" x14ac:dyDescent="0.2">
      <c r="C154" s="95"/>
      <c r="G154" s="32"/>
      <c r="J154" s="32"/>
      <c r="M154" s="32"/>
      <c r="P154" s="32"/>
      <c r="S154" s="32"/>
    </row>
    <row r="155" spans="1:21" s="15" customFormat="1" ht="15" customHeight="1" x14ac:dyDescent="0.2">
      <c r="C155" s="95"/>
      <c r="G155" s="32"/>
      <c r="J155" s="32"/>
      <c r="M155" s="32"/>
      <c r="P155" s="32"/>
      <c r="S155" s="32"/>
    </row>
    <row r="156" spans="1:21" s="15" customFormat="1" ht="15" customHeight="1" x14ac:dyDescent="0.2">
      <c r="C156" s="95"/>
      <c r="G156" s="32"/>
      <c r="J156" s="32"/>
      <c r="M156" s="32"/>
      <c r="P156" s="32"/>
      <c r="S156" s="32"/>
    </row>
    <row r="157" spans="1:21" s="15" customFormat="1" ht="15" customHeight="1" x14ac:dyDescent="0.2">
      <c r="C157" s="95"/>
      <c r="G157" s="32"/>
      <c r="J157" s="32"/>
      <c r="M157" s="32"/>
      <c r="P157" s="32"/>
      <c r="S157" s="32"/>
    </row>
    <row r="158" spans="1:21" s="15" customFormat="1" ht="15" customHeight="1" x14ac:dyDescent="0.2">
      <c r="C158" s="95"/>
      <c r="G158" s="32"/>
      <c r="J158" s="32"/>
      <c r="M158" s="32"/>
      <c r="P158" s="32"/>
      <c r="S158" s="32"/>
    </row>
    <row r="159" spans="1:21" s="15" customFormat="1" ht="15" customHeight="1" x14ac:dyDescent="0.2">
      <c r="C159" s="95"/>
      <c r="G159" s="32"/>
      <c r="J159" s="32"/>
      <c r="M159" s="32"/>
      <c r="P159" s="32"/>
      <c r="S159" s="32"/>
    </row>
    <row r="160" spans="1:21" s="15" customFormat="1" ht="15" customHeight="1" x14ac:dyDescent="0.2">
      <c r="C160" s="95"/>
      <c r="G160" s="32"/>
      <c r="J160" s="32"/>
      <c r="M160" s="32"/>
      <c r="P160" s="32"/>
      <c r="S160" s="32"/>
    </row>
    <row r="161" spans="3:19" s="15" customFormat="1" ht="15" customHeight="1" x14ac:dyDescent="0.2">
      <c r="C161" s="95"/>
      <c r="G161" s="32"/>
      <c r="J161" s="32"/>
      <c r="M161" s="32"/>
      <c r="P161" s="32"/>
      <c r="S161" s="32"/>
    </row>
    <row r="162" spans="3:19" s="15" customFormat="1" ht="15" customHeight="1" x14ac:dyDescent="0.2">
      <c r="C162" s="95"/>
      <c r="G162" s="32"/>
      <c r="J162" s="32"/>
      <c r="M162" s="32"/>
      <c r="P162" s="32"/>
      <c r="S162" s="32"/>
    </row>
    <row r="163" spans="3:19" s="15" customFormat="1" ht="15" customHeight="1" x14ac:dyDescent="0.2">
      <c r="C163" s="95"/>
      <c r="G163" s="32"/>
      <c r="J163" s="32"/>
      <c r="M163" s="32"/>
      <c r="P163" s="32"/>
      <c r="S163" s="32"/>
    </row>
    <row r="164" spans="3:19" s="15" customFormat="1" ht="15" customHeight="1" x14ac:dyDescent="0.2">
      <c r="C164" s="95"/>
      <c r="G164" s="32"/>
      <c r="J164" s="32"/>
      <c r="M164" s="32"/>
      <c r="P164" s="32"/>
      <c r="S164" s="32"/>
    </row>
    <row r="165" spans="3:19" s="15" customFormat="1" ht="15" customHeight="1" x14ac:dyDescent="0.2">
      <c r="C165" s="95"/>
      <c r="G165" s="32"/>
      <c r="J165" s="32"/>
      <c r="M165" s="32"/>
      <c r="P165" s="32"/>
      <c r="S165" s="32"/>
    </row>
    <row r="166" spans="3:19" s="15" customFormat="1" ht="15" customHeight="1" x14ac:dyDescent="0.2">
      <c r="C166" s="95"/>
      <c r="G166" s="32"/>
      <c r="J166" s="32"/>
      <c r="M166" s="32"/>
      <c r="P166" s="32"/>
      <c r="S166" s="32"/>
    </row>
    <row r="167" spans="3:19" s="15" customFormat="1" ht="15" customHeight="1" x14ac:dyDescent="0.2">
      <c r="C167" s="95"/>
      <c r="G167" s="32"/>
      <c r="J167" s="32"/>
      <c r="M167" s="32"/>
      <c r="P167" s="32"/>
      <c r="S167" s="32"/>
    </row>
    <row r="168" spans="3:19" s="15" customFormat="1" ht="15" customHeight="1" x14ac:dyDescent="0.2">
      <c r="C168" s="95"/>
      <c r="G168" s="32"/>
      <c r="J168" s="32"/>
      <c r="M168" s="32"/>
      <c r="P168" s="32"/>
      <c r="S168" s="32"/>
    </row>
    <row r="169" spans="3:19" s="15" customFormat="1" ht="15" customHeight="1" x14ac:dyDescent="0.2">
      <c r="C169" s="95"/>
      <c r="G169" s="32"/>
      <c r="J169" s="32"/>
      <c r="M169" s="32"/>
      <c r="P169" s="32"/>
      <c r="S169" s="32"/>
    </row>
    <row r="170" spans="3:19" s="15" customFormat="1" ht="15" customHeight="1" x14ac:dyDescent="0.2">
      <c r="C170" s="95"/>
      <c r="G170" s="32"/>
      <c r="J170" s="32"/>
      <c r="M170" s="32"/>
      <c r="P170" s="32"/>
      <c r="S170" s="32"/>
    </row>
    <row r="171" spans="3:19" s="15" customFormat="1" ht="15" customHeight="1" x14ac:dyDescent="0.2">
      <c r="C171" s="95"/>
      <c r="G171" s="32"/>
      <c r="J171" s="32"/>
      <c r="M171" s="32"/>
      <c r="P171" s="32"/>
      <c r="S171" s="32"/>
    </row>
    <row r="172" spans="3:19" s="15" customFormat="1" ht="15" customHeight="1" x14ac:dyDescent="0.2">
      <c r="C172" s="95"/>
      <c r="G172" s="32"/>
      <c r="J172" s="32"/>
      <c r="M172" s="32"/>
      <c r="P172" s="32"/>
      <c r="S172" s="32"/>
    </row>
    <row r="173" spans="3:19" s="15" customFormat="1" ht="15" customHeight="1" x14ac:dyDescent="0.2">
      <c r="C173" s="95"/>
      <c r="G173" s="32"/>
      <c r="J173" s="32"/>
      <c r="M173" s="32"/>
      <c r="P173" s="32"/>
      <c r="S173" s="32"/>
    </row>
    <row r="174" spans="3:19" s="15" customFormat="1" ht="15" customHeight="1" x14ac:dyDescent="0.2">
      <c r="C174" s="95"/>
      <c r="G174" s="32"/>
      <c r="J174" s="32"/>
      <c r="M174" s="32"/>
      <c r="P174" s="32"/>
      <c r="S174" s="32"/>
    </row>
    <row r="175" spans="3:19" s="15" customFormat="1" ht="15" customHeight="1" x14ac:dyDescent="0.2">
      <c r="C175" s="95"/>
      <c r="G175" s="32"/>
      <c r="J175" s="32"/>
      <c r="M175" s="32"/>
      <c r="P175" s="32"/>
      <c r="S175" s="32"/>
    </row>
    <row r="176" spans="3:19" s="15" customFormat="1" ht="15" customHeight="1" x14ac:dyDescent="0.2">
      <c r="C176" s="95"/>
      <c r="G176" s="32"/>
      <c r="J176" s="32"/>
      <c r="M176" s="32"/>
      <c r="P176" s="32"/>
      <c r="S176" s="32"/>
    </row>
    <row r="177" spans="3:19" s="15" customFormat="1" ht="15" customHeight="1" x14ac:dyDescent="0.2">
      <c r="C177" s="95"/>
      <c r="G177" s="32"/>
      <c r="J177" s="32"/>
      <c r="M177" s="32"/>
      <c r="P177" s="32"/>
      <c r="S177" s="32"/>
    </row>
    <row r="178" spans="3:19" s="15" customFormat="1" ht="15" customHeight="1" x14ac:dyDescent="0.2">
      <c r="C178" s="95"/>
      <c r="G178" s="32"/>
      <c r="J178" s="32"/>
      <c r="M178" s="32"/>
      <c r="P178" s="32"/>
      <c r="S178" s="32"/>
    </row>
  </sheetData>
  <sheetProtection sheet="1" objects="1" scenarios="1"/>
  <mergeCells count="41">
    <mergeCell ref="O146:S146"/>
    <mergeCell ref="O148:S148"/>
    <mergeCell ref="O149:S149"/>
    <mergeCell ref="O150:S150"/>
    <mergeCell ref="O141:S141"/>
    <mergeCell ref="O142:S142"/>
    <mergeCell ref="O143:S143"/>
    <mergeCell ref="O144:S144"/>
    <mergeCell ref="O145:S145"/>
    <mergeCell ref="O136:S136"/>
    <mergeCell ref="O137:S137"/>
    <mergeCell ref="O138:S138"/>
    <mergeCell ref="O139:S139"/>
    <mergeCell ref="O140:S140"/>
    <mergeCell ref="O128:S128"/>
    <mergeCell ref="O131:S131"/>
    <mergeCell ref="O132:S132"/>
    <mergeCell ref="O133:S133"/>
    <mergeCell ref="O134:S134"/>
    <mergeCell ref="O10:S10"/>
    <mergeCell ref="O66:S66"/>
    <mergeCell ref="O104:S104"/>
    <mergeCell ref="O106:S106"/>
    <mergeCell ref="O126:S126"/>
    <mergeCell ref="A6:M6"/>
    <mergeCell ref="D7:E7"/>
    <mergeCell ref="F7:G7"/>
    <mergeCell ref="H7:I7"/>
    <mergeCell ref="J7:K7"/>
    <mergeCell ref="L7:M7"/>
    <mergeCell ref="L3:M3"/>
    <mergeCell ref="D4:E4"/>
    <mergeCell ref="F4:G4"/>
    <mergeCell ref="H4:I4"/>
    <mergeCell ref="J4:K4"/>
    <mergeCell ref="L4:M4"/>
    <mergeCell ref="B3:C3"/>
    <mergeCell ref="D3:E3"/>
    <mergeCell ref="F3:G3"/>
    <mergeCell ref="H3:I3"/>
    <mergeCell ref="J3:K3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200-000000000000}">
  <sheetPr>
    <tabColor rgb="FFBDD7EE"/>
  </sheetPr>
  <dimension ref="A1:BA80"/>
  <sheetViews>
    <sheetView showGridLines="0" zoomScaleNormal="100" workbookViewId="0">
      <pane ySplit="8" topLeftCell="A9" activePane="bottomLeft" state="frozen"/>
      <selection pane="bottomLeft" activeCell="J43" sqref="J43"/>
    </sheetView>
  </sheetViews>
  <sheetFormatPr baseColWidth="10" defaultColWidth="8.83203125" defaultRowHeight="15" x14ac:dyDescent="0.2"/>
  <cols>
    <col min="1" max="1" width="57.6640625" customWidth="1"/>
    <col min="2" max="2" width="35.83203125" customWidth="1"/>
    <col min="3" max="3" width="14" style="20" customWidth="1"/>
    <col min="4" max="4" width="12.5" customWidth="1"/>
    <col min="5" max="5" width="14.1640625" customWidth="1"/>
    <col min="6" max="6" width="11.83203125" style="15" customWidth="1"/>
    <col min="7" max="7" width="13.33203125" style="21" customWidth="1"/>
    <col min="8" max="8" width="12.5" customWidth="1"/>
    <col min="9" max="9" width="11.6640625" customWidth="1"/>
    <col min="10" max="10" width="12.1640625" style="21" customWidth="1"/>
    <col min="11" max="12" width="11.6640625" customWidth="1"/>
    <col min="13" max="13" width="11.6640625" style="21" customWidth="1"/>
    <col min="14" max="14" width="12" customWidth="1"/>
    <col min="15" max="15" width="11.6640625" customWidth="1"/>
    <col min="16" max="16" width="9" style="21" customWidth="1"/>
    <col min="17" max="17" width="12" customWidth="1"/>
    <col min="18" max="18" width="11.6640625" customWidth="1"/>
    <col min="19" max="19" width="9" style="21" customWidth="1"/>
    <col min="20" max="20" width="12" customWidth="1"/>
    <col min="21" max="21" width="11.6640625" customWidth="1"/>
    <col min="22" max="22" width="4.33203125" style="15" customWidth="1"/>
    <col min="23" max="53" width="9" style="15" customWidth="1"/>
  </cols>
  <sheetData>
    <row r="1" spans="1:26" s="15" customFormat="1" ht="28.5" customHeight="1" x14ac:dyDescent="0.35">
      <c r="A1" s="22">
        <f>Pricing!B1</f>
      </c>
      <c r="B1" s="23"/>
      <c r="C1" s="24"/>
      <c r="D1" s="23"/>
      <c r="E1" s="23"/>
      <c r="F1" s="23"/>
      <c r="G1" s="25"/>
      <c r="H1" s="23"/>
      <c r="I1" s="23"/>
      <c r="J1" s="25"/>
      <c r="K1" s="23"/>
      <c r="L1" s="23"/>
      <c r="M1" s="25"/>
      <c r="N1" s="23"/>
      <c r="O1" s="23"/>
      <c r="P1" s="25"/>
      <c r="Q1" s="23"/>
      <c r="R1" s="23"/>
      <c r="S1" s="25"/>
      <c r="T1" s="23"/>
    </row>
    <row r="2" spans="1:26" s="15" customFormat="1" ht="15" customHeight="1" x14ac:dyDescent="0.2">
      <c r="A2" s="23"/>
      <c r="B2" s="23"/>
      <c r="C2" s="24"/>
      <c r="D2" s="23"/>
      <c r="E2" s="23"/>
      <c r="F2" s="23"/>
    </row>
    <row r="3" spans="1:26" s="15" customFormat="1" ht="31.5" customHeight="1" x14ac:dyDescent="0.2">
      <c r="A3" s="26" t="s">
        <v>14</v>
      </c>
      <c r="B3" s="9">
        <f>'Exec Summary'!C5</f>
      </c>
      <c r="C3" s="9"/>
      <c r="D3" s="28"/>
      <c r="E3" s="28"/>
      <c r="F3" s="28" t="s">
        <v>20</v>
      </c>
      <c r="G3" s="28"/>
      <c r="H3" s="28"/>
      <c r="I3" s="28" t="s">
        <v>20</v>
      </c>
      <c r="J3" s="28"/>
      <c r="K3" s="28"/>
    </row>
    <row r="4" spans="1:26" s="15" customFormat="1" ht="15" customHeight="1" x14ac:dyDescent="0.2">
      <c r="A4" s="76"/>
      <c r="B4" s="76"/>
      <c r="C4" s="94"/>
      <c r="G4" s="32"/>
      <c r="J4" s="32"/>
      <c r="M4" s="32"/>
      <c r="P4" s="32"/>
      <c r="S4" s="32"/>
    </row>
    <row r="5" spans="1:26" s="15" customFormat="1" ht="30.75" customHeight="1" x14ac:dyDescent="0.35">
      <c r="A5" s="4" t="s">
        <v>41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6" s="98" customFormat="1" ht="15.75" customHeight="1" x14ac:dyDescent="0.2">
      <c r="A6" s="96"/>
      <c r="B6" s="97"/>
      <c r="C6" s="97"/>
      <c r="D6" s="97"/>
      <c r="E6" s="97"/>
      <c r="F6" s="3" t="s">
        <v>15</v>
      </c>
      <c r="G6" s="3"/>
      <c r="H6" s="3"/>
      <c r="I6" s="3" t="s">
        <v>16</v>
      </c>
      <c r="J6" s="3"/>
      <c r="K6" s="3"/>
      <c r="L6" s="3" t="s">
        <v>17</v>
      </c>
      <c r="M6" s="3"/>
      <c r="N6" s="3"/>
      <c r="O6" s="3" t="s">
        <v>18</v>
      </c>
      <c r="P6" s="3"/>
      <c r="Q6" s="3"/>
      <c r="R6" s="3" t="s">
        <v>19</v>
      </c>
      <c r="S6" s="3"/>
      <c r="T6" s="3"/>
    </row>
    <row r="7" spans="1:26" s="98" customFormat="1" ht="42.75" customHeight="1" x14ac:dyDescent="0.2">
      <c r="A7" s="96"/>
      <c r="B7" s="97"/>
      <c r="C7" s="97"/>
      <c r="D7" s="97"/>
      <c r="E7" s="99" t="s">
        <v>42</v>
      </c>
      <c r="F7" s="2" t="inlineStr">
        <is>
          <t xml:space="preserve"/>
        </is>
      </c>
      <c r="G7" s="2"/>
      <c r="H7" s="2"/>
      <c r="I7" s="2" t="inlineStr">
        <is>
          <t xml:space="preserve"/>
        </is>
      </c>
      <c r="J7" s="2"/>
      <c r="K7" s="2"/>
      <c r="L7" s="1" t="inlineStr">
        <is>
          <t xml:space="preserve"/>
        </is>
      </c>
      <c r="M7" s="1"/>
      <c r="N7" s="1"/>
      <c r="O7" s="1" t="inlineStr">
        <is>
          <t xml:space="preserve"/>
        </is>
      </c>
      <c r="P7" s="1"/>
      <c r="Q7" s="1"/>
      <c r="R7" s="1" t="inlineStr">
        <is>
          <t xml:space="preserve"/>
        </is>
      </c>
      <c r="S7" s="1"/>
      <c r="T7" s="1"/>
    </row>
    <row r="8" spans="1:26" s="15" customFormat="1" ht="30" customHeight="1" x14ac:dyDescent="0.2">
      <c r="A8" s="38" t="s">
        <v>23</v>
      </c>
      <c r="B8" s="38" t="s">
        <v>24</v>
      </c>
      <c r="C8" s="39" t="s">
        <v>25</v>
      </c>
      <c r="D8" s="100" t="s">
        <v>43</v>
      </c>
      <c r="E8" s="100" t="s">
        <v>44</v>
      </c>
      <c r="F8" s="48" t="s">
        <v>26</v>
      </c>
      <c r="G8" s="101" t="s">
        <v>27</v>
      </c>
      <c r="H8" s="100" t="s">
        <v>45</v>
      </c>
      <c r="I8" s="48" t="s">
        <v>26</v>
      </c>
      <c r="J8" s="101" t="s">
        <v>27</v>
      </c>
      <c r="K8" s="100" t="s">
        <v>45</v>
      </c>
      <c r="L8" s="48" t="s">
        <v>26</v>
      </c>
      <c r="M8" s="101" t="s">
        <v>27</v>
      </c>
      <c r="N8" s="100" t="s">
        <v>45</v>
      </c>
      <c r="O8" s="48" t="s">
        <v>26</v>
      </c>
      <c r="P8" s="101" t="s">
        <v>27</v>
      </c>
      <c r="Q8" s="100" t="s">
        <v>45</v>
      </c>
      <c r="R8" s="48" t="s">
        <v>26</v>
      </c>
      <c r="S8" s="101" t="s">
        <v>27</v>
      </c>
      <c r="T8" s="100" t="s">
        <v>45</v>
      </c>
    </row>
    <row r="9" spans="1:26" s="15" customFormat="1" ht="15" customHeight="1" x14ac:dyDescent="0.2">
      <c r="A9" s="102" t="s">
        <v>28</v>
      </c>
      <c r="B9" s="103"/>
      <c r="C9" s="104"/>
      <c r="D9" s="103"/>
      <c r="E9" s="105"/>
      <c r="F9" s="106"/>
      <c r="G9" s="103"/>
      <c r="H9" s="107"/>
      <c r="I9" s="108"/>
      <c r="J9" s="103"/>
      <c r="K9" s="107"/>
      <c r="L9" s="109"/>
      <c r="M9" s="110"/>
      <c r="N9" s="111"/>
      <c r="O9" s="109"/>
      <c r="P9" s="110"/>
      <c r="Q9" s="111"/>
      <c r="R9" s="109"/>
      <c r="S9" s="110"/>
      <c r="T9" s="111"/>
      <c r="W9" s="15" t="s">
        <v>29</v>
      </c>
    </row>
    <row r="10" spans="1:26" s="15" customFormat="1" ht="15" customHeight="1" x14ac:dyDescent="0.2">
      <c r="A10" s="81" t="inlineStr">
        <is>
          <t xml:space="preserve"/>
        </is>
      </c>
      <c r="B10" s="77" t="inlineStr">
        <is>
          <t xml:space="preserve">-</t>
        </is>
      </c>
      <c r="C10" s="112">
        <v>0</v>
      </c>
      <c r="D10" s="113">
        <v>0</v>
      </c>
      <c r="E10" s="114">
        <f>IFERROR(C10/(1-D10),0)</f>
      </c>
      <c r="F10" s="60">
        <v>0</v>
      </c>
      <c r="G10" s="67">
        <f>SUM(C10*F10)</f>
      </c>
      <c r="H10" s="115">
        <f>SUM(E10*F10)</f>
      </c>
      <c r="I10" s="60">
        <v>0</v>
      </c>
      <c r="J10" s="61">
        <f>SUM(I10*C10)</f>
      </c>
      <c r="K10" s="116">
        <f>SUM(E10*I10)</f>
      </c>
      <c r="L10" s="60">
        <v>0</v>
      </c>
      <c r="M10" s="61">
        <f>SUM(L10*C10)</f>
      </c>
      <c r="N10" s="116">
        <f>SUM(E10*L10)</f>
      </c>
      <c r="O10" s="60">
        <v>0</v>
      </c>
      <c r="P10" s="61">
        <f>SUM(O10*C10)</f>
      </c>
      <c r="Q10" s="116">
        <f>SUM(E10*O10)</f>
      </c>
      <c r="R10" s="60">
        <v>0</v>
      </c>
      <c r="S10" s="61">
        <f>SUM(R10*C10)</f>
      </c>
      <c r="T10" s="116">
        <f>SUM(E10*R10)</f>
      </c>
      <c r="V10" s="5" t="inlineStr">
        <is>
          <t xml:space="preserve"/>
        </is>
      </c>
      <c r="W10" s="5"/>
      <c r="X10" s="5"/>
      <c r="Y10" s="5"/>
      <c r="Z10" s="5"/>
    </row>
    <row r="11" spans="1:26" s="15" customFormat="1" ht="15" customHeight="1" x14ac:dyDescent="0.2">
      <c r="A11" s="81" t="inlineStr">
        <is>
          <t xml:space="preserve"/>
        </is>
      </c>
      <c r="B11" s="77" t="inlineStr">
        <is>
          <t xml:space="preserve">-</t>
        </is>
      </c>
      <c r="C11" s="112">
        <v>0</v>
      </c>
      <c r="D11" s="113">
        <v>0</v>
      </c>
      <c r="E11" s="114">
        <f>IFERROR(C11/(1-D11),0)</f>
      </c>
      <c r="F11" s="60">
        <v>0</v>
      </c>
      <c r="G11" s="67">
        <f>SUM(C11*F11)</f>
      </c>
      <c r="H11" s="115">
        <f>SUM(E11*F11)</f>
      </c>
      <c r="I11" s="60">
        <v>0</v>
      </c>
      <c r="J11" s="67">
        <f>SUM(I11*C11)</f>
      </c>
      <c r="K11" s="116">
        <f>SUM(E11*I11)</f>
      </c>
      <c r="L11" s="60">
        <v>0</v>
      </c>
      <c r="M11" s="67">
        <f>SUM(L11*C11)</f>
      </c>
      <c r="N11" s="116">
        <f>SUM(E11*L11)</f>
      </c>
      <c r="O11" s="60">
        <v>0</v>
      </c>
      <c r="P11" s="67">
        <f>SUM(O11*C11)</f>
      </c>
      <c r="Q11" s="116">
        <f>SUM(E11*O11)</f>
      </c>
      <c r="R11" s="60">
        <v>0</v>
      </c>
      <c r="S11" s="67">
        <f>SUM(R11*C11)</f>
      </c>
      <c r="T11" s="116">
        <f>SUM(E11*R11)</f>
      </c>
      <c r="V11" s="5" t="inlineStr">
        <is>
          <t xml:space="preserve"/>
        </is>
      </c>
      <c r="W11" s="5"/>
      <c r="X11" s="5"/>
      <c r="Y11" s="5"/>
      <c r="Z11" s="5"/>
    </row>
    <row r="12" spans="1:26" s="15" customFormat="1" ht="15" customHeight="1" x14ac:dyDescent="0.2">
      <c r="A12" s="81" t="inlineStr">
        <is>
          <t xml:space="preserve"/>
        </is>
      </c>
      <c r="B12" s="77" t="inlineStr">
        <is>
          <t xml:space="preserve">-</t>
        </is>
      </c>
      <c r="C12" s="112">
        <v>0</v>
      </c>
      <c r="D12" s="113">
        <v>0</v>
      </c>
      <c r="E12" s="114">
        <f>IFERROR(C12/(1-D12),0)</f>
      </c>
      <c r="F12" s="60">
        <v>0</v>
      </c>
      <c r="G12" s="67">
        <f>SUM(C12*F12)</f>
      </c>
      <c r="H12" s="115">
        <f>SUM(E12*F12)</f>
      </c>
      <c r="I12" s="60">
        <v>0</v>
      </c>
      <c r="J12" s="67">
        <f>SUM(I12*C12)</f>
      </c>
      <c r="K12" s="116">
        <f>SUM(E12*I12)</f>
      </c>
      <c r="L12" s="60">
        <v>0</v>
      </c>
      <c r="M12" s="67">
        <f>SUM(L12*C12)</f>
      </c>
      <c r="N12" s="116">
        <f>SUM(E12*L12)</f>
      </c>
      <c r="O12" s="60">
        <v>0</v>
      </c>
      <c r="P12" s="67">
        <f>SUM(O12*C12)</f>
      </c>
      <c r="Q12" s="116">
        <f>SUM(E12*O12)</f>
      </c>
      <c r="R12" s="60">
        <v>0</v>
      </c>
      <c r="S12" s="67">
        <f>SUM(R12*C12)</f>
      </c>
      <c r="T12" s="116">
        <f>SUM(E12*R12)</f>
      </c>
      <c r="V12" s="5" t="inlineStr">
        <is>
          <t xml:space="preserve"/>
        </is>
      </c>
      <c r="W12" s="5"/>
      <c r="X12" s="5"/>
      <c r="Y12" s="5"/>
      <c r="Z12" s="5"/>
    </row>
    <row r="13" spans="1:26" s="15" customFormat="1" ht="15" customHeight="1" x14ac:dyDescent="0.2">
      <c r="A13" s="81" t="inlineStr">
        <is>
          <t xml:space="preserve"/>
        </is>
      </c>
      <c r="B13" s="77" t="inlineStr">
        <is>
          <t xml:space="preserve">-</t>
        </is>
      </c>
      <c r="C13" s="112">
        <v>0</v>
      </c>
      <c r="D13" s="113">
        <v>0</v>
      </c>
      <c r="E13" s="114">
        <f>IFERROR(C13/(1-D13),0)</f>
      </c>
      <c r="F13" s="60">
        <v>0</v>
      </c>
      <c r="G13" s="67">
        <f>SUM(C13*F13)</f>
      </c>
      <c r="H13" s="115">
        <f>SUM(E13*F13)</f>
      </c>
      <c r="I13" s="60">
        <v>0</v>
      </c>
      <c r="J13" s="67">
        <f>SUM(I13*C13)</f>
      </c>
      <c r="K13" s="116">
        <f>SUM(E13*I13)</f>
      </c>
      <c r="L13" s="60">
        <v>0</v>
      </c>
      <c r="M13" s="67">
        <f>SUM(L13*C13)</f>
      </c>
      <c r="N13" s="116">
        <f>SUM(E13*L13)</f>
      </c>
      <c r="O13" s="60">
        <v>0</v>
      </c>
      <c r="P13" s="67">
        <f>SUM(O13*C13)</f>
      </c>
      <c r="Q13" s="116">
        <f>SUM(E13*O13)</f>
      </c>
      <c r="R13" s="60">
        <v>0</v>
      </c>
      <c r="S13" s="67">
        <f>SUM(R13*C13)</f>
      </c>
      <c r="T13" s="116">
        <f>SUM(E13*R13)</f>
      </c>
      <c r="V13" s="5" t="inlineStr">
        <is>
          <t xml:space="preserve"/>
        </is>
      </c>
      <c r="W13" s="5"/>
      <c r="X13" s="5"/>
      <c r="Y13" s="5"/>
      <c r="Z13" s="5"/>
    </row>
    <row r="14" spans="1:26" s="15" customFormat="1" ht="15" customHeight="1" x14ac:dyDescent="0.2">
      <c r="A14" s="81" t="inlineStr">
        <is>
          <t xml:space="preserve"/>
        </is>
      </c>
      <c r="B14" s="77" t="inlineStr">
        <is>
          <t xml:space="preserve">-</t>
        </is>
      </c>
      <c r="C14" s="112">
        <v>0</v>
      </c>
      <c r="D14" s="113">
        <v>0</v>
      </c>
      <c r="E14" s="114">
        <f>IFERROR(C14/(1-D14),0)</f>
      </c>
      <c r="F14" s="60">
        <v>0</v>
      </c>
      <c r="G14" s="67">
        <f>SUM(C14*F14)</f>
      </c>
      <c r="H14" s="115">
        <f>SUM(E14*F14)</f>
      </c>
      <c r="I14" s="60">
        <v>0</v>
      </c>
      <c r="J14" s="61">
        <f>SUM(I14*C14)</f>
      </c>
      <c r="K14" s="116">
        <f>SUM(E14*I14)</f>
      </c>
      <c r="L14" s="60">
        <v>0</v>
      </c>
      <c r="M14" s="67">
        <f>SUM(L14*C14)</f>
      </c>
      <c r="N14" s="116">
        <f>SUM(E14*L14)</f>
      </c>
      <c r="O14" s="60">
        <v>0</v>
      </c>
      <c r="P14" s="67">
        <f>SUM(O14*C14)</f>
      </c>
      <c r="Q14" s="116">
        <f>SUM(E14*O14)</f>
      </c>
      <c r="R14" s="60">
        <v>0</v>
      </c>
      <c r="S14" s="67">
        <f>SUM(R14*C14)</f>
      </c>
      <c r="T14" s="116">
        <f>SUM(E14*R14)</f>
      </c>
      <c r="V14" s="5" t="inlineStr">
        <is>
          <t xml:space="preserve"/>
        </is>
      </c>
      <c r="W14" s="5"/>
      <c r="X14" s="5"/>
      <c r="Y14" s="5"/>
      <c r="Z14" s="5"/>
    </row>
    <row r="15" spans="1:26" s="15" customFormat="1" ht="15" customHeight="1" x14ac:dyDescent="0.2">
      <c r="A15" s="81" t="inlineStr">
        <is>
          <t xml:space="preserve"/>
        </is>
      </c>
      <c r="B15" s="77" t="inlineStr">
        <is>
          <t xml:space="preserve">-</t>
        </is>
      </c>
      <c r="C15" s="112">
        <v>0</v>
      </c>
      <c r="D15" s="113">
        <v>0</v>
      </c>
      <c r="E15" s="114">
        <f>IFERROR(C15/(1-D15),0)</f>
      </c>
      <c r="F15" s="60">
        <v>0</v>
      </c>
      <c r="G15" s="67">
        <f>SUM(C15*F15)</f>
      </c>
      <c r="H15" s="115">
        <f>SUM(E15*F15)</f>
      </c>
      <c r="I15" s="60">
        <v>0</v>
      </c>
      <c r="J15" s="61">
        <f>SUM(I15*C15)</f>
      </c>
      <c r="K15" s="116">
        <f>SUM(E15*I15)</f>
      </c>
      <c r="L15" s="60">
        <v>0</v>
      </c>
      <c r="M15" s="67">
        <f>SUM(L15*C15)</f>
      </c>
      <c r="N15" s="116">
        <f>SUM(E15*L15)</f>
      </c>
      <c r="O15" s="60">
        <v>0</v>
      </c>
      <c r="P15" s="67">
        <f>SUM(O15*C15)</f>
      </c>
      <c r="Q15" s="116">
        <f>SUM(E15*O15)</f>
      </c>
      <c r="R15" s="60">
        <v>0</v>
      </c>
      <c r="S15" s="67">
        <f>SUM(R15*C15)</f>
      </c>
      <c r="T15" s="116">
        <f>SUM(E15*R15)</f>
      </c>
      <c r="V15" s="5" t="inlineStr">
        <is>
          <t xml:space="preserve"/>
        </is>
      </c>
      <c r="W15" s="5"/>
      <c r="X15" s="5"/>
      <c r="Y15" s="5"/>
      <c r="Z15" s="5"/>
    </row>
    <row r="16" spans="1:26" s="15" customFormat="1" ht="15" customHeight="1" x14ac:dyDescent="0.2">
      <c r="A16" s="81" t="inlineStr">
        <is>
          <t xml:space="preserve"/>
        </is>
      </c>
      <c r="B16" s="77" t="inlineStr">
        <is>
          <t xml:space="preserve">-</t>
        </is>
      </c>
      <c r="C16" s="112">
        <v>0</v>
      </c>
      <c r="D16" s="113">
        <v>0</v>
      </c>
      <c r="E16" s="114">
        <f>IFERROR(C16/(1-D16),0)</f>
      </c>
      <c r="F16" s="60">
        <v>0</v>
      </c>
      <c r="G16" s="67">
        <f>SUM(C16*F16)</f>
      </c>
      <c r="H16" s="115">
        <f>SUM(E16*F16)</f>
      </c>
      <c r="I16" s="60">
        <v>0</v>
      </c>
      <c r="J16" s="67">
        <f>SUM(I16*C16)</f>
      </c>
      <c r="K16" s="116">
        <f>SUM(E16*I16)</f>
      </c>
      <c r="L16" s="60">
        <v>0</v>
      </c>
      <c r="M16" s="67">
        <f>SUM(L16*C16)</f>
      </c>
      <c r="N16" s="116">
        <f>SUM(E16*L16)</f>
      </c>
      <c r="O16" s="60">
        <v>0</v>
      </c>
      <c r="P16" s="67">
        <f>SUM(O16*C16)</f>
      </c>
      <c r="Q16" s="116">
        <f>SUM(E16*O16)</f>
      </c>
      <c r="R16" s="60">
        <v>0</v>
      </c>
      <c r="S16" s="67">
        <f>SUM(R16*C16)</f>
      </c>
      <c r="T16" s="116">
        <f>SUM(E16*R16)</f>
      </c>
      <c r="V16" s="5" t="inlineStr">
        <is>
          <t xml:space="preserve"/>
        </is>
      </c>
      <c r="W16" s="5"/>
      <c r="X16" s="5"/>
      <c r="Y16" s="5"/>
      <c r="Z16" s="5"/>
    </row>
    <row r="17" spans="1:26" s="15" customFormat="1" ht="15" customHeight="1" x14ac:dyDescent="0.2">
      <c r="A17" s="81" t="inlineStr">
        <is>
          <t xml:space="preserve"/>
        </is>
      </c>
      <c r="B17" s="77" t="inlineStr">
        <is>
          <t xml:space="preserve">-</t>
        </is>
      </c>
      <c r="C17" s="112">
        <v>0</v>
      </c>
      <c r="D17" s="113">
        <v>0</v>
      </c>
      <c r="E17" s="114">
        <f>IFERROR(C17/(1-D17),0)</f>
      </c>
      <c r="F17" s="60">
        <v>0</v>
      </c>
      <c r="G17" s="67">
        <f>SUM(C17*F17)</f>
      </c>
      <c r="H17" s="115">
        <f>SUM(E17*F17)</f>
      </c>
      <c r="I17" s="60">
        <v>0</v>
      </c>
      <c r="J17" s="67">
        <f>SUM(I17*C17)</f>
      </c>
      <c r="K17" s="116">
        <f>SUM(E17*I17)</f>
      </c>
      <c r="L17" s="60">
        <v>0</v>
      </c>
      <c r="M17" s="67">
        <f>SUM(L17*C17)</f>
      </c>
      <c r="N17" s="116">
        <f>SUM(E17*L17)</f>
      </c>
      <c r="O17" s="60">
        <v>0</v>
      </c>
      <c r="P17" s="67">
        <f>SUM(O17*C17)</f>
      </c>
      <c r="Q17" s="116">
        <f>SUM(E17*O17)</f>
      </c>
      <c r="R17" s="60">
        <v>0</v>
      </c>
      <c r="S17" s="67">
        <f>SUM(R17*C17)</f>
      </c>
      <c r="T17" s="116">
        <f>SUM(E17*R17)</f>
      </c>
      <c r="V17" s="5" t="inlineStr">
        <is>
          <t xml:space="preserve"/>
        </is>
      </c>
      <c r="W17" s="5"/>
      <c r="X17" s="5"/>
      <c r="Y17" s="5"/>
      <c r="Z17" s="5"/>
    </row>
    <row r="18" spans="1:26" s="15" customFormat="1" ht="15" customHeight="1" x14ac:dyDescent="0.2">
      <c r="A18" s="81" t="inlineStr">
        <is>
          <t xml:space="preserve"/>
        </is>
      </c>
      <c r="B18" s="77" t="inlineStr">
        <is>
          <t xml:space="preserve">-</t>
        </is>
      </c>
      <c r="C18" s="112">
        <v>0</v>
      </c>
      <c r="D18" s="113">
        <v>0</v>
      </c>
      <c r="E18" s="114">
        <f>IFERROR(C18/(1-D18),0)</f>
      </c>
      <c r="F18" s="60">
        <v>0</v>
      </c>
      <c r="G18" s="67">
        <f>SUM(C18*F18)</f>
      </c>
      <c r="H18" s="115">
        <f>SUM(E18*F18)</f>
      </c>
      <c r="I18" s="60">
        <v>0</v>
      </c>
      <c r="J18" s="67">
        <f>SUM(I18*C18)</f>
      </c>
      <c r="K18" s="116">
        <f>SUM(E18*I18)</f>
      </c>
      <c r="L18" s="60">
        <v>0</v>
      </c>
      <c r="M18" s="67">
        <f>SUM(L18*C18)</f>
      </c>
      <c r="N18" s="116">
        <f>SUM(E18*L18)</f>
      </c>
      <c r="O18" s="60">
        <v>0</v>
      </c>
      <c r="P18" s="67">
        <f>SUM(O18*C18)</f>
      </c>
      <c r="Q18" s="116">
        <f>SUM(E18*O18)</f>
      </c>
      <c r="R18" s="60">
        <v>0</v>
      </c>
      <c r="S18" s="67">
        <f>SUM(R18*C18)</f>
      </c>
      <c r="T18" s="116">
        <f>SUM(E18*R18)</f>
      </c>
      <c r="V18" s="5" t="inlineStr">
        <is>
          <t xml:space="preserve"/>
        </is>
      </c>
      <c r="W18" s="5"/>
      <c r="X18" s="5"/>
      <c r="Y18" s="5"/>
      <c r="Z18" s="5"/>
    </row>
    <row r="19" spans="1:26" s="15" customFormat="1" ht="15" customHeight="1" x14ac:dyDescent="0.2">
      <c r="A19" s="81" t="inlineStr">
        <is>
          <t xml:space="preserve"/>
        </is>
      </c>
      <c r="B19" s="77" t="inlineStr">
        <is>
          <t xml:space="preserve">-</t>
        </is>
      </c>
      <c r="C19" s="112">
        <v>0</v>
      </c>
      <c r="D19" s="113">
        <v>0</v>
      </c>
      <c r="E19" s="114">
        <f>IFERROR(C19/(1-D19),0)</f>
      </c>
      <c r="F19" s="60">
        <v>0</v>
      </c>
      <c r="G19" s="67">
        <f>SUM(C19*F19)</f>
      </c>
      <c r="H19" s="115">
        <f>SUM(E19*F19)</f>
      </c>
      <c r="I19" s="60">
        <v>0</v>
      </c>
      <c r="J19" s="67">
        <f>SUM(I19*C19)</f>
      </c>
      <c r="K19" s="116">
        <f>SUM(E19*I19)</f>
      </c>
      <c r="L19" s="60">
        <v>0</v>
      </c>
      <c r="M19" s="67">
        <f>SUM(L19*C19)</f>
      </c>
      <c r="N19" s="116">
        <f>SUM(E19*L19)</f>
      </c>
      <c r="O19" s="60">
        <v>0</v>
      </c>
      <c r="P19" s="67">
        <f>SUM(O19*C19)</f>
      </c>
      <c r="Q19" s="116">
        <f>SUM(E19*O19)</f>
      </c>
      <c r="R19" s="60">
        <v>0</v>
      </c>
      <c r="S19" s="67">
        <f>SUM(R19*C19)</f>
      </c>
      <c r="T19" s="116">
        <f>SUM(E19*R19)</f>
      </c>
      <c r="V19" s="5" t="inlineStr">
        <is>
          <t xml:space="preserve"/>
        </is>
      </c>
      <c r="W19" s="5"/>
      <c r="X19" s="5"/>
      <c r="Y19" s="5"/>
      <c r="Z19" s="5"/>
    </row>
    <row r="20" spans="1:26" s="15" customFormat="1" ht="15" customHeight="1" x14ac:dyDescent="0.2">
      <c r="A20" s="81" t="inlineStr">
        <is>
          <t xml:space="preserve"/>
        </is>
      </c>
      <c r="B20" s="77" t="inlineStr">
        <is>
          <t xml:space="preserve">-</t>
        </is>
      </c>
      <c r="C20" s="112">
        <v>0</v>
      </c>
      <c r="D20" s="113">
        <v>0</v>
      </c>
      <c r="E20" s="114">
        <f>IFERROR(C20/(1-D20),0)</f>
      </c>
      <c r="F20" s="60">
        <v>0</v>
      </c>
      <c r="G20" s="67">
        <f>SUM(C20*F20)</f>
      </c>
      <c r="H20" s="115">
        <f>SUM(E20*F20)</f>
      </c>
      <c r="I20" s="60">
        <v>0</v>
      </c>
      <c r="J20" s="67">
        <f>SUM(I20*C20)</f>
      </c>
      <c r="K20" s="116">
        <f>SUM(E20*I20)</f>
      </c>
      <c r="L20" s="60">
        <v>0</v>
      </c>
      <c r="M20" s="67">
        <f>SUM(L20*C20)</f>
      </c>
      <c r="N20" s="116">
        <f>SUM(E20*L20)</f>
      </c>
      <c r="O20" s="60">
        <v>0</v>
      </c>
      <c r="P20" s="67">
        <f>SUM(O20*C20)</f>
      </c>
      <c r="Q20" s="116">
        <f>SUM(E20*O20)</f>
      </c>
      <c r="R20" s="60">
        <v>0</v>
      </c>
      <c r="S20" s="67">
        <f>SUM(R20*C20)</f>
      </c>
      <c r="T20" s="116">
        <f>SUM(E20*R20)</f>
      </c>
      <c r="V20" s="5" t="inlineStr">
        <is>
          <t xml:space="preserve"/>
        </is>
      </c>
      <c r="W20" s="5"/>
      <c r="X20" s="5"/>
      <c r="Y20" s="5"/>
      <c r="Z20" s="5"/>
    </row>
    <row r="21" spans="1:26" s="15" customFormat="1" ht="15" customHeight="1" x14ac:dyDescent="0.2">
      <c r="A21" s="81" t="inlineStr">
        <is>
          <t xml:space="preserve"/>
        </is>
      </c>
      <c r="B21" s="77" t="inlineStr">
        <is>
          <t xml:space="preserve">-</t>
        </is>
      </c>
      <c r="C21" s="112">
        <v>0</v>
      </c>
      <c r="D21" s="113">
        <v>0</v>
      </c>
      <c r="E21" s="114">
        <f>IFERROR(C21/(1-D21),0)</f>
      </c>
      <c r="F21" s="60">
        <v>0</v>
      </c>
      <c r="G21" s="67">
        <f>SUM(C21*F21)</f>
      </c>
      <c r="H21" s="115">
        <f>SUM(E21*F21)</f>
      </c>
      <c r="I21" s="60">
        <v>0</v>
      </c>
      <c r="J21" s="67">
        <f>SUM(I21*C21)</f>
      </c>
      <c r="K21" s="116">
        <f>SUM(E21*I21)</f>
      </c>
      <c r="L21" s="60">
        <v>0</v>
      </c>
      <c r="M21" s="67">
        <f>SUM(L21*C21)</f>
      </c>
      <c r="N21" s="116">
        <f>SUM(E21*L21)</f>
      </c>
      <c r="O21" s="60">
        <v>0</v>
      </c>
      <c r="P21" s="67">
        <f>SUM(O21*C21)</f>
      </c>
      <c r="Q21" s="116">
        <f>SUM(E21*O21)</f>
      </c>
      <c r="R21" s="60">
        <v>0</v>
      </c>
      <c r="S21" s="67">
        <f>SUM(R21*C21)</f>
      </c>
      <c r="T21" s="116">
        <f>SUM(E21*R21)</f>
      </c>
      <c r="V21" s="5" t="inlineStr">
        <is>
          <t xml:space="preserve"/>
        </is>
      </c>
      <c r="W21" s="5"/>
      <c r="X21" s="5"/>
      <c r="Y21" s="5"/>
      <c r="Z21" s="5"/>
    </row>
    <row r="22" spans="1:26" s="15" customFormat="1" ht="15" customHeight="1" x14ac:dyDescent="0.2">
      <c r="A22" s="81" t="inlineStr">
        <is>
          <t xml:space="preserve"/>
        </is>
      </c>
      <c r="B22" s="77" t="inlineStr">
        <is>
          <t xml:space="preserve">-</t>
        </is>
      </c>
      <c r="C22" s="112">
        <v>0</v>
      </c>
      <c r="D22" s="113">
        <v>0</v>
      </c>
      <c r="E22" s="114">
        <f>IFERROR(C22/(1-D22),0)</f>
      </c>
      <c r="F22" s="60">
        <v>0</v>
      </c>
      <c r="G22" s="67">
        <f>SUM(C22*F22)</f>
      </c>
      <c r="H22" s="115">
        <f>SUM(E22*F22)</f>
      </c>
      <c r="I22" s="60">
        <v>0</v>
      </c>
      <c r="J22" s="61">
        <f>SUM(I22*C22)</f>
      </c>
      <c r="K22" s="116">
        <f>SUM(E22*I22)</f>
      </c>
      <c r="L22" s="60">
        <v>0</v>
      </c>
      <c r="M22" s="67">
        <f>SUM(L22*C22)</f>
      </c>
      <c r="N22" s="116">
        <f>SUM(E22*L22)</f>
      </c>
      <c r="O22" s="60">
        <v>0</v>
      </c>
      <c r="P22" s="67">
        <f>SUM(O22*C22)</f>
      </c>
      <c r="Q22" s="116">
        <f>SUM(E22*O22)</f>
      </c>
      <c r="R22" s="60">
        <v>0</v>
      </c>
      <c r="S22" s="67">
        <f>SUM(R22*C22)</f>
      </c>
      <c r="T22" s="116">
        <f>SUM(E22*R22)</f>
      </c>
      <c r="V22" s="5" t="inlineStr">
        <is>
          <t xml:space="preserve"/>
        </is>
      </c>
      <c r="W22" s="5"/>
      <c r="X22" s="5"/>
      <c r="Y22" s="5"/>
      <c r="Z22" s="5"/>
    </row>
    <row r="23" spans="1:26" s="15" customFormat="1" ht="15" customHeight="1" x14ac:dyDescent="0.2">
      <c r="A23" s="81" t="inlineStr">
        <is>
          <t xml:space="preserve"/>
        </is>
      </c>
      <c r="B23" s="77" t="inlineStr">
        <is>
          <t xml:space="preserve">-</t>
        </is>
      </c>
      <c r="C23" s="112">
        <v>0</v>
      </c>
      <c r="D23" s="117">
        <v>0</v>
      </c>
      <c r="E23" s="114">
        <f>IFERROR(C23/(1-D23),0)</f>
      </c>
      <c r="F23" s="60">
        <v>0</v>
      </c>
      <c r="G23" s="67">
        <f>SUM(C23*F23)</f>
      </c>
      <c r="H23" s="115">
        <f>SUM(E23*F23)</f>
      </c>
      <c r="I23" s="60">
        <v>0</v>
      </c>
      <c r="J23" s="61">
        <f>SUM(I23*C23)</f>
      </c>
      <c r="K23" s="116">
        <f>SUM(E23*I23)</f>
      </c>
      <c r="L23" s="60">
        <v>0</v>
      </c>
      <c r="M23" s="67">
        <f>SUM(L23*C23)</f>
      </c>
      <c r="N23" s="116">
        <f>SUM(E23*L23)</f>
      </c>
      <c r="O23" s="60">
        <v>0</v>
      </c>
      <c r="P23" s="67">
        <f>SUM(O23*C23)</f>
      </c>
      <c r="Q23" s="116">
        <f>SUM(E23*O23)</f>
      </c>
      <c r="R23" s="60">
        <v>0</v>
      </c>
      <c r="S23" s="67">
        <f>SUM(R23*C23)</f>
      </c>
      <c r="T23" s="116">
        <f>SUM(E23*R23)</f>
      </c>
      <c r="V23" s="5" t="inlineStr">
        <is>
          <t xml:space="preserve"/>
        </is>
      </c>
      <c r="W23" s="5"/>
      <c r="X23" s="5"/>
      <c r="Y23" s="5"/>
      <c r="Z23" s="5"/>
    </row>
    <row r="24" spans="1:26" s="15" customFormat="1" ht="15" customHeight="1" x14ac:dyDescent="0.2">
      <c r="A24" s="81" t="inlineStr">
        <is>
          <t xml:space="preserve"/>
        </is>
      </c>
      <c r="B24" s="77" t="inlineStr">
        <is>
          <t xml:space="preserve">-</t>
        </is>
      </c>
      <c r="C24" s="112">
        <v>0</v>
      </c>
      <c r="D24" s="118">
        <v>0</v>
      </c>
      <c r="E24" s="114">
        <f>IFERROR(C24/(1-D24),0)</f>
      </c>
      <c r="F24" s="60">
        <v>0</v>
      </c>
      <c r="G24" s="67">
        <f>SUM(C24*F24)</f>
      </c>
      <c r="H24" s="115">
        <f>SUM(E24*F24)</f>
      </c>
      <c r="I24" s="60">
        <v>0</v>
      </c>
      <c r="J24" s="67">
        <f>SUM(I24*C24)</f>
      </c>
      <c r="K24" s="116">
        <f>SUM(E24*I24)</f>
      </c>
      <c r="L24" s="60">
        <v>0</v>
      </c>
      <c r="M24" s="67">
        <f>SUM(L24*C24)</f>
      </c>
      <c r="N24" s="116">
        <f>SUM(E24*L24)</f>
      </c>
      <c r="O24" s="60">
        <v>0</v>
      </c>
      <c r="P24" s="67">
        <f>SUM(O24*C24)</f>
      </c>
      <c r="Q24" s="116">
        <f>SUM(E24*O24)</f>
      </c>
      <c r="R24" s="60">
        <v>0</v>
      </c>
      <c r="S24" s="67">
        <f>SUM(R24*C24)</f>
      </c>
      <c r="T24" s="116">
        <f>SUM(E24*R24)</f>
      </c>
      <c r="V24" s="5" t="inlineStr">
        <is>
          <t xml:space="preserve"/>
        </is>
      </c>
      <c r="W24" s="5"/>
      <c r="X24" s="5"/>
      <c r="Y24" s="5"/>
      <c r="Z24" s="5"/>
    </row>
    <row r="25" spans="1:26" s="15" customFormat="1" ht="15" customHeight="1" x14ac:dyDescent="0.2">
      <c r="A25" s="81" t="inlineStr">
        <is>
          <t xml:space="preserve"/>
        </is>
      </c>
      <c r="B25" s="77" t="inlineStr">
        <is>
          <t xml:space="preserve">-</t>
        </is>
      </c>
      <c r="C25" s="119">
        <v>0</v>
      </c>
      <c r="D25" s="120">
        <v>0</v>
      </c>
      <c r="E25" s="114">
        <f>IFERROR(C25/(1-D25),0)</f>
      </c>
      <c r="F25" s="60">
        <v>0</v>
      </c>
      <c r="G25" s="67">
        <f>SUM(C25*F25)</f>
      </c>
      <c r="H25" s="115">
        <f>SUM(E25*F25)</f>
      </c>
      <c r="I25" s="60">
        <v>0</v>
      </c>
      <c r="J25" s="67">
        <f>SUM(I25*C25)</f>
      </c>
      <c r="K25" s="116">
        <f>SUM(E25*I25)</f>
      </c>
      <c r="L25" s="60">
        <v>0</v>
      </c>
      <c r="M25" s="67">
        <f>SUM(L25*C25)</f>
      </c>
      <c r="N25" s="116">
        <f>SUM(E25*L25)</f>
      </c>
      <c r="O25" s="60">
        <v>0</v>
      </c>
      <c r="P25" s="67">
        <f>SUM(O25*C25)</f>
      </c>
      <c r="Q25" s="116">
        <f>SUM(E25*O25)</f>
      </c>
      <c r="R25" s="60">
        <v>0</v>
      </c>
      <c r="S25" s="67">
        <f>SUM(R25*C25)</f>
      </c>
      <c r="T25" s="116">
        <f>SUM(E25*R25)</f>
      </c>
      <c r="V25" s="5" t="inlineStr">
        <is>
          <t xml:space="preserve"/>
        </is>
      </c>
      <c r="W25" s="5"/>
      <c r="X25" s="5"/>
      <c r="Y25" s="5"/>
      <c r="Z25" s="5"/>
    </row>
    <row r="26" spans="1:26" s="15" customFormat="1" ht="15" customHeight="1" x14ac:dyDescent="0.2">
      <c r="A26" s="81" t="inlineStr">
        <is>
          <t xml:space="preserve"/>
        </is>
      </c>
      <c r="B26" s="77" t="inlineStr">
        <is>
          <t xml:space="preserve">-</t>
        </is>
      </c>
      <c r="C26" s="112">
        <v>0</v>
      </c>
      <c r="D26" s="118">
        <v>0</v>
      </c>
      <c r="E26" s="114">
        <f>IFERROR(C26/(1-D26),0)</f>
      </c>
      <c r="F26" s="60">
        <v>0</v>
      </c>
      <c r="G26" s="67">
        <f>SUM(C26*F26)</f>
      </c>
      <c r="H26" s="115">
        <f>SUM(E26*F26)</f>
      </c>
      <c r="I26" s="60">
        <v>0</v>
      </c>
      <c r="J26" s="67">
        <f>SUM(I26*C26)</f>
      </c>
      <c r="K26" s="116">
        <f>SUM(E26*I26)</f>
      </c>
      <c r="L26" s="60">
        <v>0</v>
      </c>
      <c r="M26" s="67">
        <f>SUM(L26*C26)</f>
      </c>
      <c r="N26" s="116">
        <f>SUM(E26*L26)</f>
      </c>
      <c r="O26" s="60">
        <v>0</v>
      </c>
      <c r="P26" s="67">
        <f>SUM(O26*C26)</f>
      </c>
      <c r="Q26" s="116">
        <f>SUM(E26*O26)</f>
      </c>
      <c r="R26" s="60">
        <v>0</v>
      </c>
      <c r="S26" s="67">
        <f>SUM(R26*C26)</f>
      </c>
      <c r="T26" s="116">
        <f>SUM(E26*R26)</f>
      </c>
      <c r="V26" s="64" t="inlineStr">
        <is>
          <t xml:space="preserve"/>
        </is>
      </c>
      <c r="W26" s="65"/>
      <c r="X26" s="65"/>
      <c r="Y26" s="65"/>
      <c r="Z26" s="66"/>
    </row>
    <row r="27" spans="1:26" s="15" customFormat="1" ht="15" customHeight="1" x14ac:dyDescent="0.2">
      <c r="A27" s="81" t="inlineStr">
        <is>
          <t xml:space="preserve"/>
        </is>
      </c>
      <c r="B27" s="77" t="inlineStr">
        <is>
          <t xml:space="preserve">-</t>
        </is>
      </c>
      <c r="C27" s="119">
        <v>0</v>
      </c>
      <c r="D27" s="120">
        <v>0</v>
      </c>
      <c r="E27" s="114">
        <f>IFERROR(C27/(1-D27),0)</f>
      </c>
      <c r="F27" s="60">
        <v>0</v>
      </c>
      <c r="G27" s="67">
        <f>SUM(C27*F27)</f>
      </c>
      <c r="H27" s="115">
        <f>SUM(E27*F27)</f>
      </c>
      <c r="I27" s="60">
        <v>0</v>
      </c>
      <c r="J27" s="67">
        <f>SUM(I27*C27)</f>
      </c>
      <c r="K27" s="116">
        <f>SUM(E27*I27)</f>
      </c>
      <c r="L27" s="60">
        <v>0</v>
      </c>
      <c r="M27" s="67">
        <f>SUM(L27*C27)</f>
      </c>
      <c r="N27" s="116">
        <f>SUM(E27*L27)</f>
      </c>
      <c r="O27" s="60">
        <v>0</v>
      </c>
      <c r="P27" s="67">
        <f>SUM(O27*C27)</f>
      </c>
      <c r="Q27" s="116">
        <f>SUM(E27*O27)</f>
      </c>
      <c r="R27" s="60">
        <v>0</v>
      </c>
      <c r="S27" s="67">
        <f>SUM(R27*C27)</f>
      </c>
      <c r="T27" s="116">
        <f>SUM(E27*R27)</f>
      </c>
      <c r="V27" s="5" t="inlineStr">
        <is>
          <t xml:space="preserve"/>
        </is>
      </c>
      <c r="W27" s="5"/>
      <c r="X27" s="5"/>
      <c r="Y27" s="5"/>
      <c r="Z27" s="5"/>
    </row>
    <row r="28" spans="1:26" s="15" customFormat="1" ht="15" customHeight="1" x14ac:dyDescent="0.2">
      <c r="A28" s="81" t="inlineStr">
        <is>
          <t xml:space="preserve"/>
        </is>
      </c>
      <c r="B28" s="77" t="inlineStr">
        <is>
          <t xml:space="preserve">-</t>
        </is>
      </c>
      <c r="C28" s="121">
        <v>0</v>
      </c>
      <c r="D28" s="122">
        <v>0</v>
      </c>
      <c r="E28" s="114">
        <f>IFERROR(C28/(1-D28),0)</f>
      </c>
      <c r="F28" s="60">
        <v>0</v>
      </c>
      <c r="G28" s="67">
        <f>SUM(C28*F28)</f>
      </c>
      <c r="H28" s="115">
        <f>SUM(E28*F28)</f>
      </c>
      <c r="I28" s="60">
        <v>0</v>
      </c>
      <c r="J28" s="67">
        <f>SUM(I28*C28)</f>
      </c>
      <c r="K28" s="116">
        <f>SUM(E28*I28)</f>
      </c>
      <c r="L28" s="60">
        <v>0</v>
      </c>
      <c r="M28" s="67">
        <f>SUM(L28*C28)</f>
      </c>
      <c r="N28" s="116">
        <f>SUM(E28*L28)</f>
      </c>
      <c r="O28" s="60">
        <v>0</v>
      </c>
      <c r="P28" s="67">
        <f>SUM(O28*C28)</f>
      </c>
      <c r="Q28" s="116">
        <f>SUM(E28*O28)</f>
      </c>
      <c r="R28" s="60">
        <v>0</v>
      </c>
      <c r="S28" s="67">
        <f>SUM(R28*C28)</f>
      </c>
      <c r="T28" s="116">
        <f>SUM(E28*R28)</f>
      </c>
      <c r="V28" s="5" t="inlineStr">
        <is>
          <t xml:space="preserve"/>
        </is>
      </c>
      <c r="W28" s="5"/>
      <c r="X28" s="5"/>
      <c r="Y28" s="5"/>
      <c r="Z28" s="5"/>
    </row>
    <row r="29" spans="1:26" s="15" customFormat="1" ht="15" customHeight="1" x14ac:dyDescent="0.2">
      <c r="A29" s="123" t="s">
        <v>31</v>
      </c>
      <c r="B29" s="124"/>
      <c r="C29" s="125"/>
      <c r="D29" s="126"/>
      <c r="E29" s="127"/>
      <c r="F29" s="128"/>
      <c r="G29" s="129"/>
      <c r="H29" s="130"/>
      <c r="I29" s="128"/>
      <c r="J29" s="131"/>
      <c r="K29" s="132"/>
      <c r="L29" s="128"/>
      <c r="M29" s="131"/>
      <c r="N29" s="132"/>
      <c r="O29" s="133"/>
      <c r="P29" s="131"/>
      <c r="Q29" s="132"/>
      <c r="R29" s="133"/>
      <c r="S29" s="131"/>
      <c r="T29" s="132"/>
      <c r="V29" s="76"/>
      <c r="W29" s="76"/>
      <c r="X29" s="76"/>
      <c r="Y29" s="76"/>
      <c r="Z29" s="76"/>
    </row>
    <row r="30" spans="1:26" s="15" customFormat="1" ht="15" customHeight="1" x14ac:dyDescent="0.2">
      <c r="A30" s="77" t="inlineStr">
        <is>
          <t xml:space="preserve"/>
        </is>
      </c>
      <c r="B30" s="77" t="inlineStr">
        <is>
          <t xml:space="preserve">-</t>
        </is>
      </c>
      <c r="C30" s="59">
        <v>0</v>
      </c>
      <c r="D30" s="122">
        <v>0</v>
      </c>
      <c r="E30" s="114">
        <f>IFERROR(C30/(1-D30),0)</f>
      </c>
      <c r="F30" s="60">
        <v>0</v>
      </c>
      <c r="G30" s="67">
        <f>SUM(C30*F30)</f>
      </c>
      <c r="H30" s="115">
        <f>SUM(E30*F30)</f>
      </c>
      <c r="I30" s="60">
        <v>0</v>
      </c>
      <c r="J30" s="67">
        <f>SUM(I30*C30)</f>
      </c>
      <c r="K30" s="116">
        <f>SUM(E30*I30)</f>
      </c>
      <c r="L30" s="60">
        <v>0</v>
      </c>
      <c r="M30" s="67">
        <f>SUM(L30*C30)</f>
      </c>
      <c r="N30" s="116">
        <f>SUM(E30*L30)</f>
      </c>
      <c r="O30" s="60">
        <v>0</v>
      </c>
      <c r="P30" s="67">
        <f>SUM(O30*C30)</f>
      </c>
      <c r="Q30" s="116">
        <f>SUM(E30*O30)</f>
      </c>
      <c r="R30" s="60">
        <v>0</v>
      </c>
      <c r="S30" s="67">
        <f>SUM(R30*C30)</f>
      </c>
      <c r="T30" s="116">
        <f>SUM(E30*R30)</f>
      </c>
      <c r="V30" s="5" t="inlineStr">
        <is>
          <t xml:space="preserve"/>
        </is>
      </c>
      <c r="W30" s="5"/>
      <c r="X30" s="5"/>
      <c r="Y30" s="5"/>
      <c r="Z30" s="5"/>
    </row>
    <row r="31" spans="1:26" s="15" customFormat="1" ht="15" customHeight="1" x14ac:dyDescent="0.2">
      <c r="A31" s="81" t="inlineStr">
        <is>
          <t xml:space="preserve"/>
        </is>
      </c>
      <c r="B31" s="77" t="inlineStr">
        <is>
          <t xml:space="preserve">-</t>
        </is>
      </c>
      <c r="C31" s="112">
        <v>0</v>
      </c>
      <c r="D31" s="113">
        <v>0</v>
      </c>
      <c r="E31" s="114">
        <f>IFERROR(C31/(1-D31),0)</f>
      </c>
      <c r="F31" s="60">
        <v>0</v>
      </c>
      <c r="G31" s="67">
        <f>SUM(C31*F31)</f>
      </c>
      <c r="H31" s="115">
        <f>SUM(E31*F31)</f>
      </c>
      <c r="I31" s="60">
        <v>0</v>
      </c>
      <c r="J31" s="67">
        <f>SUM(I31*C31)</f>
      </c>
      <c r="K31" s="116">
        <f>SUM(E31*I31)</f>
      </c>
      <c r="L31" s="60">
        <v>0</v>
      </c>
      <c r="M31" s="67">
        <f>SUM(L31*C31)</f>
      </c>
      <c r="N31" s="116">
        <f>SUM(E31*L31)</f>
      </c>
      <c r="O31" s="60">
        <v>0</v>
      </c>
      <c r="P31" s="67">
        <f>SUM(O31*C31)</f>
      </c>
      <c r="Q31" s="116">
        <f>SUM(E31*O31)</f>
      </c>
      <c r="R31" s="60">
        <v>0</v>
      </c>
      <c r="S31" s="67">
        <f>SUM(R31*C31)</f>
      </c>
      <c r="T31" s="116">
        <f>SUM(E31*R31)</f>
      </c>
      <c r="V31" s="5" t="inlineStr">
        <is>
          <t xml:space="preserve"/>
        </is>
      </c>
      <c r="W31" s="5"/>
      <c r="X31" s="5"/>
      <c r="Y31" s="5"/>
      <c r="Z31" s="5"/>
    </row>
    <row r="32" spans="1:26" s="15" customFormat="1" ht="15" customHeight="1" x14ac:dyDescent="0.2">
      <c r="A32" s="81" t="inlineStr">
        <is>
          <t xml:space="preserve"/>
        </is>
      </c>
      <c r="B32" s="77" t="inlineStr">
        <is>
          <t xml:space="preserve">-</t>
        </is>
      </c>
      <c r="C32" s="112">
        <v>0</v>
      </c>
      <c r="D32" s="113">
        <v>0</v>
      </c>
      <c r="E32" s="114">
        <f>IFERROR(C32/(1-D32),0)</f>
      </c>
      <c r="F32" s="60">
        <v>0</v>
      </c>
      <c r="G32" s="67">
        <f>SUM(C32*F32)</f>
      </c>
      <c r="H32" s="115">
        <f>SUM(E32*F32)</f>
      </c>
      <c r="I32" s="60">
        <v>0</v>
      </c>
      <c r="J32" s="67">
        <f>SUM(I32*C32)</f>
      </c>
      <c r="K32" s="116">
        <f>SUM(E32*I32)</f>
      </c>
      <c r="L32" s="60">
        <v>0</v>
      </c>
      <c r="M32" s="67">
        <f>SUM(L32*C32)</f>
      </c>
      <c r="N32" s="116">
        <f>SUM(E32*L32)</f>
      </c>
      <c r="O32" s="60">
        <v>0</v>
      </c>
      <c r="P32" s="67">
        <f>SUM(O32*C32)</f>
      </c>
      <c r="Q32" s="116">
        <f>SUM(E32*O32)</f>
      </c>
      <c r="R32" s="60">
        <v>0</v>
      </c>
      <c r="S32" s="67">
        <f>SUM(R32*C32)</f>
      </c>
      <c r="T32" s="116">
        <f>SUM(E32*R32)</f>
      </c>
      <c r="V32" s="5" t="inlineStr">
        <is>
          <t xml:space="preserve"/>
        </is>
      </c>
      <c r="W32" s="5"/>
      <c r="X32" s="5"/>
      <c r="Y32" s="5"/>
      <c r="Z32" s="5"/>
    </row>
    <row r="33" spans="1:26" s="15" customFormat="1" ht="15" customHeight="1" x14ac:dyDescent="0.2">
      <c r="A33" s="81" t="inlineStr">
        <is>
          <t xml:space="preserve"/>
        </is>
      </c>
      <c r="B33" s="77" t="inlineStr">
        <is>
          <t xml:space="preserve">-</t>
        </is>
      </c>
      <c r="C33" s="112">
        <v>0</v>
      </c>
      <c r="D33" s="113">
        <v>0</v>
      </c>
      <c r="E33" s="114">
        <f>IFERROR(C33/(1-D33),0)</f>
      </c>
      <c r="F33" s="60">
        <v>0</v>
      </c>
      <c r="G33" s="67">
        <f>SUM(C33*F33)</f>
      </c>
      <c r="H33" s="115">
        <f>SUM(E33*F33)</f>
      </c>
      <c r="I33" s="60">
        <v>0</v>
      </c>
      <c r="J33" s="67">
        <f>SUM(I33*C33)</f>
      </c>
      <c r="K33" s="116">
        <f>SUM(E33*I33)</f>
      </c>
      <c r="L33" s="60">
        <v>0</v>
      </c>
      <c r="M33" s="67">
        <f>SUM(L33*C33)</f>
      </c>
      <c r="N33" s="116">
        <f>SUM(E33*L33)</f>
      </c>
      <c r="O33" s="60">
        <v>0</v>
      </c>
      <c r="P33" s="67">
        <f>SUM(O33*C33)</f>
      </c>
      <c r="Q33" s="116">
        <f>SUM(E33*O33)</f>
      </c>
      <c r="R33" s="60">
        <v>0</v>
      </c>
      <c r="S33" s="67">
        <f>SUM(R33*C33)</f>
      </c>
      <c r="T33" s="116">
        <f>SUM(E33*R33)</f>
      </c>
      <c r="V33" s="5" t="inlineStr">
        <is>
          <t xml:space="preserve"/>
        </is>
      </c>
      <c r="W33" s="5"/>
      <c r="X33" s="5"/>
      <c r="Y33" s="5"/>
      <c r="Z33" s="5"/>
    </row>
    <row r="34" spans="1:26" s="15" customFormat="1" ht="15" customHeight="1" x14ac:dyDescent="0.2">
      <c r="A34" s="77" t="inlineStr">
        <is>
          <t xml:space="preserve"/>
        </is>
      </c>
      <c r="B34" s="77" t="inlineStr">
        <is>
          <t xml:space="preserve">-</t>
        </is>
      </c>
      <c r="C34" s="112">
        <v>0</v>
      </c>
      <c r="D34" s="113">
        <v>0</v>
      </c>
      <c r="E34" s="114">
        <f>IFERROR(C34/(1-D34),0)</f>
      </c>
      <c r="F34" s="60">
        <v>0</v>
      </c>
      <c r="G34" s="67">
        <f>SUM(C34*F34)</f>
      </c>
      <c r="H34" s="115">
        <f>SUM(E34*F34)</f>
      </c>
      <c r="I34" s="60">
        <v>0</v>
      </c>
      <c r="J34" s="67">
        <f>SUM(I34*C34)</f>
      </c>
      <c r="K34" s="116">
        <f>SUM(E34*I34)</f>
      </c>
      <c r="L34" s="60">
        <v>0</v>
      </c>
      <c r="M34" s="67">
        <f>SUM(L34*C34)</f>
      </c>
      <c r="N34" s="116">
        <f>SUM(E34*L34)</f>
      </c>
      <c r="O34" s="60">
        <v>0</v>
      </c>
      <c r="P34" s="67">
        <f>SUM(O34*C34)</f>
      </c>
      <c r="Q34" s="116">
        <f>SUM(E34*O34)</f>
      </c>
      <c r="R34" s="60">
        <v>0</v>
      </c>
      <c r="S34" s="67">
        <f>SUM(R34*C34)</f>
      </c>
      <c r="T34" s="116">
        <f>SUM(E34*R34)</f>
      </c>
      <c r="V34" s="5" t="inlineStr">
        <is>
          <t xml:space="preserve"/>
        </is>
      </c>
      <c r="W34" s="5"/>
      <c r="X34" s="5"/>
      <c r="Y34" s="5"/>
      <c r="Z34" s="5"/>
    </row>
    <row r="35" spans="1:26" s="15" customFormat="1" ht="15" customHeight="1" x14ac:dyDescent="0.2">
      <c r="A35" s="77" t="inlineStr">
        <is>
          <t xml:space="preserve"/>
        </is>
      </c>
      <c r="B35" s="77" t="inlineStr">
        <is>
          <t xml:space="preserve">-</t>
        </is>
      </c>
      <c r="C35" s="112">
        <v>0</v>
      </c>
      <c r="D35" s="117">
        <v>0</v>
      </c>
      <c r="E35" s="114">
        <f>IFERROR(C35/(1-D35),0)</f>
      </c>
      <c r="F35" s="60">
        <v>0</v>
      </c>
      <c r="G35" s="67">
        <f>SUM(C35*F35)</f>
      </c>
      <c r="H35" s="115">
        <f>SUM(E35*F35)</f>
      </c>
      <c r="I35" s="60">
        <v>0</v>
      </c>
      <c r="J35" s="67">
        <f>SUM(I35*C35)</f>
      </c>
      <c r="K35" s="116">
        <f>SUM(E35*I35)</f>
      </c>
      <c r="L35" s="60">
        <v>0</v>
      </c>
      <c r="M35" s="67">
        <f>SUM(L35*C35)</f>
      </c>
      <c r="N35" s="116">
        <f>SUM(E35*L35)</f>
      </c>
      <c r="O35" s="60">
        <v>0</v>
      </c>
      <c r="P35" s="67">
        <f>SUM(O35*C35)</f>
      </c>
      <c r="Q35" s="116">
        <f>SUM(E35*O35)</f>
      </c>
      <c r="R35" s="60">
        <v>0</v>
      </c>
      <c r="S35" s="67">
        <f>SUM(R35*C35)</f>
      </c>
      <c r="T35" s="116">
        <f>SUM(E35*R35)</f>
      </c>
      <c r="V35" s="5" t="inlineStr">
        <is>
          <t xml:space="preserve"/>
        </is>
      </c>
      <c r="W35" s="5"/>
      <c r="X35" s="5"/>
      <c r="Y35" s="5"/>
      <c r="Z35" s="5"/>
    </row>
    <row r="36" spans="1:26" s="15" customFormat="1" ht="15" customHeight="1" x14ac:dyDescent="0.2">
      <c r="A36" s="77" t="inlineStr">
        <is>
          <t xml:space="preserve"/>
        </is>
      </c>
      <c r="B36" s="77" t="inlineStr">
        <is>
          <t xml:space="preserve">-</t>
        </is>
      </c>
      <c r="C36" s="112">
        <v>0</v>
      </c>
      <c r="D36" s="118">
        <v>0</v>
      </c>
      <c r="E36" s="114">
        <f>IFERROR(C36/(1-D36),0)</f>
      </c>
      <c r="F36" s="60">
        <v>0</v>
      </c>
      <c r="G36" s="67">
        <f>SUM(C36*F36)</f>
      </c>
      <c r="H36" s="115">
        <f>SUM(E36*F36)</f>
      </c>
      <c r="I36" s="60">
        <v>0</v>
      </c>
      <c r="J36" s="67">
        <f>SUM(I36*C36)</f>
      </c>
      <c r="K36" s="116">
        <f>SUM(E36*I36)</f>
      </c>
      <c r="L36" s="60">
        <v>0</v>
      </c>
      <c r="M36" s="67">
        <f>SUM(L36*C36)</f>
      </c>
      <c r="N36" s="116">
        <f>SUM(E36*L36)</f>
      </c>
      <c r="O36" s="60">
        <v>0</v>
      </c>
      <c r="P36" s="67">
        <f>SUM(O36*C36)</f>
      </c>
      <c r="Q36" s="116">
        <f>SUM(E36*O36)</f>
      </c>
      <c r="R36" s="60">
        <v>0</v>
      </c>
      <c r="S36" s="67">
        <f>SUM(R36*C36)</f>
      </c>
      <c r="T36" s="116">
        <f>SUM(E36*R36)</f>
      </c>
      <c r="V36" s="5" t="inlineStr">
        <is>
          <t xml:space="preserve"/>
        </is>
      </c>
      <c r="W36" s="5"/>
      <c r="X36" s="5"/>
      <c r="Y36" s="5"/>
      <c r="Z36" s="5"/>
    </row>
    <row r="37" spans="1:26" s="15" customFormat="1" ht="15" customHeight="1" x14ac:dyDescent="0.2">
      <c r="A37" s="77" t="inlineStr">
        <is>
          <t xml:space="preserve"/>
        </is>
      </c>
      <c r="B37" s="77" t="inlineStr">
        <is>
          <t xml:space="preserve">-</t>
        </is>
      </c>
      <c r="C37" s="119">
        <v>0</v>
      </c>
      <c r="D37" s="120">
        <v>0</v>
      </c>
      <c r="E37" s="114">
        <f>IFERROR(C37/(1-D37),0)</f>
      </c>
      <c r="F37" s="60">
        <v>0</v>
      </c>
      <c r="G37" s="67">
        <f>SUM(C37*F37)</f>
      </c>
      <c r="H37" s="115">
        <f>SUM(E37*F37)</f>
      </c>
      <c r="I37" s="60">
        <v>0</v>
      </c>
      <c r="J37" s="67">
        <f>SUM(I37*C37)</f>
      </c>
      <c r="K37" s="116">
        <f>SUM(E37*I37)</f>
      </c>
      <c r="L37" s="60">
        <v>0</v>
      </c>
      <c r="M37" s="67">
        <f>SUM(L37*C37)</f>
      </c>
      <c r="N37" s="116">
        <f>SUM(E37*L37)</f>
      </c>
      <c r="O37" s="60">
        <v>0</v>
      </c>
      <c r="P37" s="67">
        <f>SUM(O37*C37)</f>
      </c>
      <c r="Q37" s="116">
        <f>SUM(E37*O37)</f>
      </c>
      <c r="R37" s="60">
        <v>0</v>
      </c>
      <c r="S37" s="67">
        <f>SUM(R37*C37)</f>
      </c>
      <c r="T37" s="116">
        <f>SUM(E37*R37)</f>
      </c>
      <c r="V37" s="5" t="inlineStr">
        <is>
          <t xml:space="preserve"/>
        </is>
      </c>
      <c r="W37" s="5"/>
      <c r="X37" s="5"/>
      <c r="Y37" s="5"/>
      <c r="Z37" s="5"/>
    </row>
    <row r="38" spans="1:26" s="15" customFormat="1" ht="15" customHeight="1" x14ac:dyDescent="0.2">
      <c r="A38" s="77" t="inlineStr">
        <is>
          <t xml:space="preserve"/>
        </is>
      </c>
      <c r="B38" s="77" t="inlineStr">
        <is>
          <t xml:space="preserve">-</t>
        </is>
      </c>
      <c r="C38" s="119">
        <v>0</v>
      </c>
      <c r="D38" s="134">
        <v>0</v>
      </c>
      <c r="E38" s="114">
        <f>IFERROR(C38/(1-D38),0)</f>
      </c>
      <c r="F38" s="60">
        <v>0</v>
      </c>
      <c r="G38" s="67">
        <f>SUM(C38*F38)</f>
      </c>
      <c r="H38" s="115">
        <f>SUM(E38*F38)</f>
      </c>
      <c r="I38" s="60">
        <v>0</v>
      </c>
      <c r="J38" s="67">
        <f>SUM(I38*C38)</f>
      </c>
      <c r="K38" s="116">
        <f>SUM(E38*I38)</f>
      </c>
      <c r="L38" s="60">
        <v>0</v>
      </c>
      <c r="M38" s="67">
        <f>SUM(L38*C38)</f>
      </c>
      <c r="N38" s="116">
        <f>SUM(E38*L38)</f>
      </c>
      <c r="O38" s="60">
        <v>0</v>
      </c>
      <c r="P38" s="67">
        <f>SUM(O38*C38)</f>
      </c>
      <c r="Q38" s="116">
        <f>SUM(E38*O38)</f>
      </c>
      <c r="R38" s="60">
        <v>0</v>
      </c>
      <c r="S38" s="67">
        <f>SUM(R38*C38)</f>
      </c>
      <c r="T38" s="116">
        <f>SUM(E38*R38)</f>
      </c>
      <c r="V38" s="5" t="inlineStr">
        <is>
          <t xml:space="preserve"/>
        </is>
      </c>
      <c r="W38" s="5"/>
      <c r="X38" s="5"/>
      <c r="Y38" s="5"/>
      <c r="Z38" s="5"/>
    </row>
    <row r="39" spans="1:26" s="15" customFormat="1" ht="15" customHeight="1" x14ac:dyDescent="0.2">
      <c r="A39" s="77" t="inlineStr">
        <is>
          <t xml:space="preserve"/>
        </is>
      </c>
      <c r="B39" s="77" t="inlineStr">
        <is>
          <t xml:space="preserve">-</t>
        </is>
      </c>
      <c r="C39" s="119">
        <v>0</v>
      </c>
      <c r="D39" s="134">
        <v>0</v>
      </c>
      <c r="E39" s="114">
        <f>IFERROR(C39/(1-D39),0)</f>
      </c>
      <c r="F39" s="60">
        <v>0</v>
      </c>
      <c r="G39" s="67">
        <f>SUM(C39*F39)</f>
      </c>
      <c r="H39" s="115">
        <f>SUM(E39*F39)</f>
      </c>
      <c r="I39" s="60">
        <v>0</v>
      </c>
      <c r="J39" s="67">
        <f>SUM(I39*C39)</f>
      </c>
      <c r="K39" s="116">
        <f>SUM(E39*I39)</f>
      </c>
      <c r="L39" s="60">
        <v>0</v>
      </c>
      <c r="M39" s="67">
        <f>SUM(L39*C39)</f>
      </c>
      <c r="N39" s="116">
        <f>SUM(E39*L39)</f>
      </c>
      <c r="O39" s="60">
        <v>0</v>
      </c>
      <c r="P39" s="67">
        <f>SUM(O39*C39)</f>
      </c>
      <c r="Q39" s="116">
        <f>SUM(E39*O39)</f>
      </c>
      <c r="R39" s="60">
        <v>0</v>
      </c>
      <c r="S39" s="67">
        <f>SUM(R39*C39)</f>
      </c>
      <c r="T39" s="116">
        <f>SUM(E39*R39)</f>
      </c>
      <c r="V39" s="5" t="inlineStr">
        <is>
          <t xml:space="preserve"/>
        </is>
      </c>
      <c r="W39" s="5"/>
      <c r="X39" s="5"/>
      <c r="Y39" s="5"/>
      <c r="Z39" s="5"/>
    </row>
    <row r="40" spans="1:26" s="15" customFormat="1" ht="15" customHeight="1" x14ac:dyDescent="0.2">
      <c r="A40" s="81" t="inlineStr">
        <is>
          <t xml:space="preserve"/>
        </is>
      </c>
      <c r="B40" s="77" t="inlineStr">
        <is>
          <t xml:space="preserve">-</t>
        </is>
      </c>
      <c r="C40" s="119">
        <v>0</v>
      </c>
      <c r="D40" s="134">
        <v>0</v>
      </c>
      <c r="E40" s="114">
        <f>IFERROR(C40/(1-D40),0)</f>
      </c>
      <c r="F40" s="60">
        <v>0</v>
      </c>
      <c r="G40" s="67">
        <f>SUM(C40*F40)</f>
      </c>
      <c r="H40" s="115">
        <f>SUM(E40*F40)</f>
      </c>
      <c r="I40" s="60">
        <v>0</v>
      </c>
      <c r="J40" s="67">
        <f>SUM(I40*C40)</f>
      </c>
      <c r="K40" s="116">
        <f>SUM(E40*I40)</f>
      </c>
      <c r="L40" s="60">
        <v>0</v>
      </c>
      <c r="M40" s="67">
        <f>SUM(L40*C40)</f>
      </c>
      <c r="N40" s="116">
        <f>SUM(E40*L40)</f>
      </c>
      <c r="O40" s="60">
        <v>0</v>
      </c>
      <c r="P40" s="67">
        <f>SUM(O40*C40)</f>
      </c>
      <c r="Q40" s="116">
        <f>SUM(E40*O40)</f>
      </c>
      <c r="R40" s="60">
        <v>0</v>
      </c>
      <c r="S40" s="67">
        <f>SUM(R40*C40)</f>
      </c>
      <c r="T40" s="116">
        <f>SUM(E40*R40)</f>
      </c>
      <c r="V40" s="5" t="inlineStr">
        <is>
          <t xml:space="preserve"/>
        </is>
      </c>
      <c r="W40" s="5"/>
      <c r="X40" s="5"/>
      <c r="Y40" s="5"/>
      <c r="Z40" s="5"/>
    </row>
    <row r="41" spans="1:26" s="15" customFormat="1" ht="15" customHeight="1" x14ac:dyDescent="0.2">
      <c r="A41" s="81" t="inlineStr">
        <is>
          <t xml:space="preserve"/>
        </is>
      </c>
      <c r="B41" s="77" t="inlineStr">
        <is>
          <t xml:space="preserve">-</t>
        </is>
      </c>
      <c r="C41" s="59">
        <v>0</v>
      </c>
      <c r="D41" s="122">
        <v>0</v>
      </c>
      <c r="E41" s="114">
        <f>IFERROR(C41/(1-D41),0)</f>
      </c>
      <c r="F41" s="60">
        <v>0</v>
      </c>
      <c r="G41" s="67">
        <f>SUM(C41*F41)</f>
      </c>
      <c r="H41" s="115">
        <f>SUM(E41*F41)</f>
      </c>
      <c r="I41" s="60">
        <v>0</v>
      </c>
      <c r="J41" s="67">
        <f>SUM(I41*C41)</f>
      </c>
      <c r="K41" s="116">
        <f>SUM(E41*I41)</f>
      </c>
      <c r="L41" s="60">
        <v>0</v>
      </c>
      <c r="M41" s="67">
        <f>SUM(L41*C41)</f>
      </c>
      <c r="N41" s="116">
        <f>SUM(E41*L41)</f>
      </c>
      <c r="O41" s="60">
        <v>0</v>
      </c>
      <c r="P41" s="67">
        <f>SUM(O41*C41)</f>
      </c>
      <c r="Q41" s="116">
        <f>SUM(E41*O41)</f>
      </c>
      <c r="R41" s="60">
        <v>0</v>
      </c>
      <c r="S41" s="67">
        <f>SUM(R41*C41)</f>
      </c>
      <c r="T41" s="116">
        <f>SUM(E41*R41)</f>
      </c>
      <c r="V41" s="5" t="inlineStr">
        <is>
          <t xml:space="preserve"/>
        </is>
      </c>
      <c r="W41" s="5"/>
      <c r="X41" s="5"/>
      <c r="Y41" s="5"/>
      <c r="Z41" s="5"/>
    </row>
    <row r="42" spans="1:26" s="15" customFormat="1" ht="15.75" customHeight="1" x14ac:dyDescent="0.2">
      <c r="A42" s="123" t="s">
        <v>32</v>
      </c>
      <c r="B42" s="124"/>
      <c r="C42" s="125"/>
      <c r="D42" s="126"/>
      <c r="E42" s="127"/>
      <c r="F42" s="128"/>
      <c r="G42" s="129"/>
      <c r="H42" s="130"/>
      <c r="I42" s="133"/>
      <c r="J42" s="129"/>
      <c r="K42" s="130"/>
      <c r="L42" s="133"/>
      <c r="M42" s="129"/>
      <c r="N42" s="130"/>
      <c r="O42" s="133"/>
      <c r="P42" s="129"/>
      <c r="Q42" s="130"/>
      <c r="R42" s="133"/>
      <c r="S42" s="129"/>
      <c r="T42" s="130"/>
      <c r="V42" s="135" t="s">
        <v>20</v>
      </c>
      <c r="W42" s="135"/>
      <c r="X42" s="135"/>
      <c r="Y42" s="135"/>
      <c r="Z42" s="87"/>
    </row>
    <row r="43" spans="1:26" s="15" customFormat="1" ht="15.75" customHeight="1" x14ac:dyDescent="0.2">
      <c r="A43" s="81" t="inlineStr">
        <is>
          <t xml:space="preserve"/>
        </is>
      </c>
      <c r="B43" s="77" t="inlineStr">
        <is>
          <t xml:space="preserve">-</t>
        </is>
      </c>
      <c r="C43" s="112">
        <v>0</v>
      </c>
      <c r="D43" s="113">
        <v>0</v>
      </c>
      <c r="E43" s="114">
        <f>IFERROR(C43/(1-D43),0)</f>
      </c>
      <c r="F43" s="60">
        <v>0</v>
      </c>
      <c r="G43" s="67">
        <f>SUM(C43*F43)</f>
      </c>
      <c r="H43" s="115">
        <f>SUM(E43*F43)</f>
      </c>
      <c r="I43" s="60">
        <v>0</v>
      </c>
      <c r="J43" s="61">
        <f>SUM(I43*C43)</f>
      </c>
      <c r="K43" s="116">
        <f>SUM(E43*I43)</f>
      </c>
      <c r="L43" s="60">
        <v>0</v>
      </c>
      <c r="M43" s="61">
        <f>SUM(L43*C43)</f>
      </c>
      <c r="N43" s="116">
        <f>SUM(E43*L43)</f>
      </c>
      <c r="O43" s="60">
        <v>0</v>
      </c>
      <c r="P43" s="61">
        <f>SUM(O43*C43)</f>
      </c>
      <c r="Q43" s="116">
        <f>SUM(E43*O43)</f>
      </c>
      <c r="R43" s="60">
        <v>0</v>
      </c>
      <c r="S43" s="61">
        <f>SUM(R43*C43)</f>
      </c>
      <c r="T43" s="116">
        <f>SUM(E43*R43)</f>
      </c>
      <c r="V43" s="5" t="inlineStr">
        <is>
          <t xml:space="preserve"/>
        </is>
      </c>
      <c r="W43" s="5"/>
      <c r="X43" s="5"/>
      <c r="Y43" s="5"/>
      <c r="Z43" s="5"/>
    </row>
    <row r="44" spans="1:26" s="15" customFormat="1" ht="15.75" customHeight="1" x14ac:dyDescent="0.2">
      <c r="A44" s="81" t="inlineStr">
        <is>
          <t xml:space="preserve"/>
        </is>
      </c>
      <c r="B44" s="77" t="inlineStr">
        <is>
          <t xml:space="preserve">-</t>
        </is>
      </c>
      <c r="C44" s="112">
        <v>0</v>
      </c>
      <c r="D44" s="113">
        <v>0</v>
      </c>
      <c r="E44" s="114">
        <f>IFERROR(C44/(1-D44),0)</f>
      </c>
      <c r="F44" s="60">
        <v>0</v>
      </c>
      <c r="G44" s="67">
        <f>SUM(C44*F44)</f>
      </c>
      <c r="H44" s="115">
        <f>SUM(E44*F44)</f>
      </c>
      <c r="I44" s="60">
        <v>0</v>
      </c>
      <c r="J44" s="67">
        <f>SUM(I44*C44)</f>
      </c>
      <c r="K44" s="116">
        <f>SUM(E44*I44)</f>
      </c>
      <c r="L44" s="60">
        <v>0</v>
      </c>
      <c r="M44" s="67">
        <f>SUM(L44*C44)</f>
      </c>
      <c r="N44" s="116">
        <f>SUM(E44*L44)</f>
      </c>
      <c r="O44" s="60">
        <v>0</v>
      </c>
      <c r="P44" s="67">
        <f>SUM(O44*C44)</f>
      </c>
      <c r="Q44" s="116">
        <f>SUM(E44*O44)</f>
      </c>
      <c r="R44" s="60">
        <v>0</v>
      </c>
      <c r="S44" s="67">
        <f>SUM(R44*C44)</f>
      </c>
      <c r="T44" s="116">
        <f>SUM(E44*R44)</f>
      </c>
      <c r="V44" s="5" t="inlineStr">
        <is>
          <t xml:space="preserve"/>
        </is>
      </c>
      <c r="W44" s="5"/>
      <c r="X44" s="5"/>
      <c r="Y44" s="5"/>
      <c r="Z44" s="5"/>
    </row>
    <row r="45" spans="1:26" s="15" customFormat="1" ht="15" customHeight="1" x14ac:dyDescent="0.2">
      <c r="A45" s="81" t="inlineStr">
        <is>
          <t xml:space="preserve"/>
        </is>
      </c>
      <c r="B45" s="77" t="inlineStr">
        <is>
          <t xml:space="preserve">-</t>
        </is>
      </c>
      <c r="C45" s="112">
        <v>0</v>
      </c>
      <c r="D45" s="113">
        <v>0</v>
      </c>
      <c r="E45" s="114">
        <f>IFERROR(C45/(1-D45),0)</f>
      </c>
      <c r="F45" s="60">
        <v>0</v>
      </c>
      <c r="G45" s="67">
        <f>SUM(C45*F45)</f>
      </c>
      <c r="H45" s="115">
        <f>SUM(E45*F45)</f>
      </c>
      <c r="I45" s="60">
        <v>0</v>
      </c>
      <c r="J45" s="67">
        <f>SUM(I45*C45)</f>
      </c>
      <c r="K45" s="116">
        <f>SUM(E45*I45)</f>
      </c>
      <c r="L45" s="60">
        <v>0</v>
      </c>
      <c r="M45" s="67">
        <f>SUM(L45*C45)</f>
      </c>
      <c r="N45" s="116">
        <f>SUM(E45*L45)</f>
      </c>
      <c r="O45" s="60">
        <v>0</v>
      </c>
      <c r="P45" s="67">
        <f>SUM(O45*C45)</f>
      </c>
      <c r="Q45" s="116">
        <f>SUM(E45*O45)</f>
      </c>
      <c r="R45" s="60">
        <v>0</v>
      </c>
      <c r="S45" s="67">
        <f>SUM(R45*C45)</f>
      </c>
      <c r="T45" s="116">
        <f>SUM(E45*R45)</f>
      </c>
      <c r="V45" s="5" t="inlineStr">
        <is>
          <t xml:space="preserve"/>
        </is>
      </c>
      <c r="W45" s="5"/>
      <c r="X45" s="5"/>
      <c r="Y45" s="5"/>
      <c r="Z45" s="5"/>
    </row>
    <row r="46" spans="1:26" s="15" customFormat="1" ht="15" customHeight="1" x14ac:dyDescent="0.2">
      <c r="A46" s="81" t="inlineStr">
        <is>
          <t xml:space="preserve"/>
        </is>
      </c>
      <c r="B46" s="77" t="inlineStr">
        <is>
          <t xml:space="preserve">-</t>
        </is>
      </c>
      <c r="C46" s="112">
        <v>0</v>
      </c>
      <c r="D46" s="113">
        <v>0</v>
      </c>
      <c r="E46" s="114">
        <f>IFERROR(C46/(1-D46),0)</f>
      </c>
      <c r="F46" s="60">
        <v>0</v>
      </c>
      <c r="G46" s="67">
        <f>SUM(C46*F46)</f>
      </c>
      <c r="H46" s="115">
        <f>SUM(E46*F46)</f>
      </c>
      <c r="I46" s="60">
        <v>0</v>
      </c>
      <c r="J46" s="67">
        <f>SUM(I46*C46)</f>
      </c>
      <c r="K46" s="116">
        <f>SUM(E46*I46)</f>
      </c>
      <c r="L46" s="60">
        <v>0</v>
      </c>
      <c r="M46" s="67">
        <f>SUM(L46*C46)</f>
      </c>
      <c r="N46" s="116">
        <f>SUM(E46*L46)</f>
      </c>
      <c r="O46" s="60">
        <v>0</v>
      </c>
      <c r="P46" s="67">
        <f>SUM(O46*C46)</f>
      </c>
      <c r="Q46" s="116">
        <f>SUM(E46*O46)</f>
      </c>
      <c r="R46" s="60">
        <v>0</v>
      </c>
      <c r="S46" s="67">
        <f>SUM(R46*C46)</f>
      </c>
      <c r="T46" s="116">
        <f>SUM(E46*R46)</f>
      </c>
      <c r="V46" s="5" t="inlineStr">
        <is>
          <t xml:space="preserve"/>
        </is>
      </c>
      <c r="W46" s="5"/>
      <c r="X46" s="5"/>
      <c r="Y46" s="5"/>
      <c r="Z46" s="5"/>
    </row>
    <row r="47" spans="1:26" s="15" customFormat="1" ht="15" customHeight="1" x14ac:dyDescent="0.2">
      <c r="A47" s="81" t="inlineStr">
        <is>
          <t xml:space="preserve"/>
        </is>
      </c>
      <c r="B47" s="77" t="inlineStr">
        <is>
          <t xml:space="preserve">-</t>
        </is>
      </c>
      <c r="C47" s="112">
        <v>0</v>
      </c>
      <c r="D47" s="113">
        <v>0</v>
      </c>
      <c r="E47" s="114">
        <f>IFERROR(C47/(1-D47),0)</f>
      </c>
      <c r="F47" s="60">
        <v>0</v>
      </c>
      <c r="G47" s="67">
        <f>SUM(C47*F47)</f>
      </c>
      <c r="H47" s="115">
        <f>SUM(E47*F47)</f>
      </c>
      <c r="I47" s="60">
        <v>0</v>
      </c>
      <c r="J47" s="67">
        <f>SUM(I47*C47)</f>
      </c>
      <c r="K47" s="116">
        <f>SUM(E47*I47)</f>
      </c>
      <c r="L47" s="60">
        <v>0</v>
      </c>
      <c r="M47" s="67">
        <f>SUM(L47*C47)</f>
      </c>
      <c r="N47" s="116">
        <f>SUM(E47*L47)</f>
      </c>
      <c r="O47" s="60">
        <v>0</v>
      </c>
      <c r="P47" s="67">
        <f>SUM(O47*C47)</f>
      </c>
      <c r="Q47" s="116">
        <f>SUM(E47*O47)</f>
      </c>
      <c r="R47" s="60">
        <v>0</v>
      </c>
      <c r="S47" s="67">
        <f>SUM(R47*C47)</f>
      </c>
      <c r="T47" s="116">
        <f>SUM(E47*R47)</f>
      </c>
      <c r="V47" s="5" t="inlineStr">
        <is>
          <t xml:space="preserve"/>
        </is>
      </c>
      <c r="W47" s="5"/>
      <c r="X47" s="5"/>
      <c r="Y47" s="5"/>
      <c r="Z47" s="5"/>
    </row>
    <row r="48" spans="1:26" s="15" customFormat="1" ht="15" customHeight="1" x14ac:dyDescent="0.2">
      <c r="A48" s="81" t="inlineStr">
        <is>
          <t xml:space="preserve"/>
        </is>
      </c>
      <c r="B48" s="77" t="inlineStr">
        <is>
          <t xml:space="preserve">-</t>
        </is>
      </c>
      <c r="C48" s="112">
        <v>0</v>
      </c>
      <c r="D48" s="117">
        <v>0</v>
      </c>
      <c r="E48" s="114">
        <f>IFERROR(C48/(1-D48),0)</f>
      </c>
      <c r="F48" s="60">
        <v>0</v>
      </c>
      <c r="G48" s="67">
        <f>SUM(C48*F48)</f>
      </c>
      <c r="H48" s="115">
        <f>SUM(E48*F48)</f>
      </c>
      <c r="I48" s="60">
        <v>0</v>
      </c>
      <c r="J48" s="67">
        <f>SUM(I48*C48)</f>
      </c>
      <c r="K48" s="116">
        <f>SUM(E48*I48)</f>
      </c>
      <c r="L48" s="60">
        <v>0</v>
      </c>
      <c r="M48" s="67">
        <f>SUM(L48*C48)</f>
      </c>
      <c r="N48" s="116">
        <f>SUM(E48*L48)</f>
      </c>
      <c r="O48" s="60">
        <v>0</v>
      </c>
      <c r="P48" s="67">
        <f>SUM(O48*C48)</f>
      </c>
      <c r="Q48" s="116">
        <f>SUM(E48*O48)</f>
      </c>
      <c r="R48" s="60">
        <v>0</v>
      </c>
      <c r="S48" s="67">
        <f>SUM(R48*C48)</f>
      </c>
      <c r="T48" s="116">
        <f>SUM(E48*R48)</f>
      </c>
      <c r="V48" s="5" t="inlineStr">
        <is>
          <t xml:space="preserve"/>
        </is>
      </c>
      <c r="W48" s="5"/>
      <c r="X48" s="5"/>
      <c r="Y48" s="5"/>
      <c r="Z48" s="5"/>
    </row>
    <row r="49" spans="1:26" s="15" customFormat="1" ht="15" customHeight="1" x14ac:dyDescent="0.2">
      <c r="A49" s="81" t="inlineStr">
        <is>
          <t xml:space="preserve"/>
        </is>
      </c>
      <c r="B49" s="77" t="inlineStr">
        <is>
          <t xml:space="preserve">-</t>
        </is>
      </c>
      <c r="C49" s="112">
        <v>0</v>
      </c>
      <c r="D49" s="118">
        <v>0</v>
      </c>
      <c r="E49" s="114">
        <f>IFERROR(C49/(1-D49),0)</f>
      </c>
      <c r="F49" s="60">
        <v>0</v>
      </c>
      <c r="G49" s="67">
        <f>SUM(C49*F49)</f>
      </c>
      <c r="H49" s="115">
        <f>SUM(E49*F49)</f>
      </c>
      <c r="I49" s="60">
        <v>0</v>
      </c>
      <c r="J49" s="67">
        <f>SUM(I49*C49)</f>
      </c>
      <c r="K49" s="116">
        <f>SUM(E49*I49)</f>
      </c>
      <c r="L49" s="60">
        <v>0</v>
      </c>
      <c r="M49" s="67">
        <f>SUM(L49*C49)</f>
      </c>
      <c r="N49" s="116">
        <f>SUM(E49*L49)</f>
      </c>
      <c r="O49" s="60">
        <v>0</v>
      </c>
      <c r="P49" s="67">
        <f>SUM(O49*C49)</f>
      </c>
      <c r="Q49" s="116">
        <f>SUM(E49*O49)</f>
      </c>
      <c r="R49" s="60">
        <v>0</v>
      </c>
      <c r="S49" s="67">
        <f>SUM(R49*C49)</f>
      </c>
      <c r="T49" s="116">
        <f>SUM(E49*R49)</f>
      </c>
      <c r="V49" s="5" t="inlineStr">
        <is>
          <t xml:space="preserve"/>
        </is>
      </c>
      <c r="W49" s="5"/>
      <c r="X49" s="5"/>
      <c r="Y49" s="5"/>
      <c r="Z49" s="5"/>
    </row>
    <row r="50" spans="1:26" s="15" customFormat="1" ht="15" customHeight="1" x14ac:dyDescent="0.2">
      <c r="A50" s="81" t="inlineStr">
        <is>
          <t xml:space="preserve"/>
        </is>
      </c>
      <c r="B50" s="77" t="inlineStr">
        <is>
          <t xml:space="preserve">-</t>
        </is>
      </c>
      <c r="C50" s="119">
        <v>0</v>
      </c>
      <c r="D50" s="120">
        <v>0</v>
      </c>
      <c r="E50" s="114">
        <f>IFERROR(C50/(1-D50),0)</f>
      </c>
      <c r="F50" s="60">
        <v>0</v>
      </c>
      <c r="G50" s="67">
        <f>SUM(C50*F50)</f>
      </c>
      <c r="H50" s="115">
        <f>SUM(E50*F50)</f>
      </c>
      <c r="I50" s="60">
        <v>0</v>
      </c>
      <c r="J50" s="67">
        <f>SUM(I50*C50)</f>
      </c>
      <c r="K50" s="116">
        <f>SUM(E50*I50)</f>
      </c>
      <c r="L50" s="60">
        <v>0</v>
      </c>
      <c r="M50" s="67">
        <f>SUM(L50*C50)</f>
      </c>
      <c r="N50" s="116">
        <f>SUM(E50*L50)</f>
      </c>
      <c r="O50" s="60">
        <v>0</v>
      </c>
      <c r="P50" s="67">
        <f>SUM(O50*C50)</f>
      </c>
      <c r="Q50" s="116">
        <f>SUM(E50*O50)</f>
      </c>
      <c r="R50" s="60">
        <v>0</v>
      </c>
      <c r="S50" s="67">
        <f>SUM(R50*C50)</f>
      </c>
      <c r="T50" s="116">
        <f>SUM(E50*R50)</f>
      </c>
      <c r="V50" s="5" t="inlineStr">
        <is>
          <t xml:space="preserve"/>
        </is>
      </c>
      <c r="W50" s="5"/>
      <c r="X50" s="5"/>
      <c r="Y50" s="5"/>
      <c r="Z50" s="5"/>
    </row>
    <row r="51" spans="1:26" s="15" customFormat="1" ht="15" customHeight="1" x14ac:dyDescent="0.2">
      <c r="A51" s="81" t="inlineStr">
        <is>
          <t xml:space="preserve"/>
        </is>
      </c>
      <c r="B51" s="77" t="inlineStr">
        <is>
          <t xml:space="preserve">-</t>
        </is>
      </c>
      <c r="C51" s="119">
        <v>0</v>
      </c>
      <c r="D51" s="134">
        <v>0</v>
      </c>
      <c r="E51" s="114">
        <f>IFERROR(C51/(1-D51),0)</f>
      </c>
      <c r="F51" s="60">
        <v>0</v>
      </c>
      <c r="G51" s="67">
        <f>SUM(C51*F51)</f>
      </c>
      <c r="H51" s="115">
        <f>SUM(E51*F51)</f>
      </c>
      <c r="I51" s="60">
        <v>0</v>
      </c>
      <c r="J51" s="67">
        <f>SUM(I51*C51)</f>
      </c>
      <c r="K51" s="116">
        <f>SUM(E51*I51)</f>
      </c>
      <c r="L51" s="60">
        <v>0</v>
      </c>
      <c r="M51" s="67">
        <f>SUM(L51*C51)</f>
      </c>
      <c r="N51" s="116">
        <f>SUM(E51*L51)</f>
      </c>
      <c r="O51" s="60">
        <v>0</v>
      </c>
      <c r="P51" s="67">
        <f>SUM(O51*C51)</f>
      </c>
      <c r="Q51" s="116">
        <f>SUM(E51*O51)</f>
      </c>
      <c r="R51" s="60">
        <v>0</v>
      </c>
      <c r="S51" s="67">
        <f>SUM(R51*C51)</f>
      </c>
      <c r="T51" s="116">
        <f>SUM(E51*R51)</f>
      </c>
      <c r="V51" s="5" t="inlineStr">
        <is>
          <t xml:space="preserve"/>
        </is>
      </c>
      <c r="W51" s="5"/>
      <c r="X51" s="5"/>
      <c r="Y51" s="5"/>
      <c r="Z51" s="5"/>
    </row>
    <row r="52" spans="1:26" s="15" customFormat="1" ht="15" customHeight="1" x14ac:dyDescent="0.2">
      <c r="A52" s="88" t="inlineStr">
        <is>
          <t xml:space="preserve"/>
        </is>
      </c>
      <c r="B52" s="89" t="inlineStr">
        <is>
          <t xml:space="preserve">-</t>
        </is>
      </c>
      <c r="C52" s="136">
        <v>0</v>
      </c>
      <c r="D52" s="137">
        <v>0</v>
      </c>
      <c r="E52" s="138">
        <f>IFERROR(C52/(1-D52),0)</f>
      </c>
      <c r="F52" s="91">
        <v>0</v>
      </c>
      <c r="G52" s="92">
        <f>SUM(C52*F52)</f>
      </c>
      <c r="H52" s="139">
        <f>SUM(E52*F52)</f>
      </c>
      <c r="I52" s="91">
        <v>0</v>
      </c>
      <c r="J52" s="92">
        <f>SUM(I52*C52)</f>
      </c>
      <c r="K52" s="139">
        <f>SUM(E52*I52)</f>
      </c>
      <c r="L52" s="91">
        <v>0</v>
      </c>
      <c r="M52" s="92">
        <f>SUM(L52*C52)</f>
      </c>
      <c r="N52" s="139">
        <f>SUM(E52*L52)</f>
      </c>
      <c r="O52" s="91">
        <v>0</v>
      </c>
      <c r="P52" s="92">
        <f>SUM(O52*C52)</f>
      </c>
      <c r="Q52" s="139">
        <f>SUM(E52*O52)</f>
      </c>
      <c r="R52" s="91">
        <v>0</v>
      </c>
      <c r="S52" s="92">
        <f>SUM(R52*C52)</f>
      </c>
      <c r="T52" s="139">
        <f>SUM(E52*R52)</f>
      </c>
      <c r="V52" s="5" t="inlineStr">
        <is>
          <t xml:space="preserve"/>
        </is>
      </c>
      <c r="W52" s="5"/>
      <c r="X52" s="5"/>
      <c r="Y52" s="5"/>
      <c r="Z52" s="5"/>
    </row>
    <row r="53" spans="1:26" s="15" customFormat="1" ht="15" customHeight="1" x14ac:dyDescent="0.2">
      <c r="C53" s="95"/>
      <c r="G53" s="32"/>
      <c r="J53" s="32"/>
      <c r="M53" s="32"/>
      <c r="P53" s="32"/>
      <c r="S53" s="32"/>
    </row>
    <row r="54" spans="1:26" s="15" customFormat="1" ht="15" customHeight="1" x14ac:dyDescent="0.2">
      <c r="C54" s="95"/>
      <c r="G54" s="32"/>
      <c r="J54" s="32"/>
      <c r="M54" s="32"/>
      <c r="P54" s="32"/>
      <c r="S54" s="32"/>
    </row>
    <row r="55" spans="1:26" s="15" customFormat="1" ht="15" customHeight="1" x14ac:dyDescent="0.2">
      <c r="C55" s="95"/>
      <c r="G55" s="32"/>
      <c r="J55" s="32"/>
      <c r="M55" s="32"/>
      <c r="P55" s="32"/>
      <c r="S55" s="32"/>
    </row>
    <row r="56" spans="1:26" s="15" customFormat="1" ht="15" customHeight="1" x14ac:dyDescent="0.2">
      <c r="C56" s="95"/>
      <c r="G56" s="32"/>
      <c r="J56" s="32"/>
      <c r="M56" s="32"/>
      <c r="P56" s="32"/>
      <c r="S56" s="32"/>
    </row>
    <row r="57" spans="1:26" s="15" customFormat="1" ht="15" customHeight="1" x14ac:dyDescent="0.2">
      <c r="C57" s="95"/>
      <c r="G57" s="32"/>
      <c r="J57" s="32"/>
      <c r="M57" s="32"/>
      <c r="P57" s="32"/>
      <c r="S57" s="32"/>
    </row>
    <row r="58" spans="1:26" s="15" customFormat="1" ht="15" customHeight="1" x14ac:dyDescent="0.2">
      <c r="C58" s="95"/>
      <c r="G58" s="32"/>
      <c r="J58" s="32"/>
      <c r="M58" s="32"/>
      <c r="P58" s="32"/>
      <c r="S58" s="32"/>
    </row>
    <row r="59" spans="1:26" s="15" customFormat="1" ht="15" customHeight="1" x14ac:dyDescent="0.2">
      <c r="C59" s="95"/>
      <c r="G59" s="32"/>
      <c r="J59" s="32"/>
      <c r="M59" s="32"/>
      <c r="P59" s="32"/>
      <c r="S59" s="32"/>
    </row>
    <row r="60" spans="1:26" s="15" customFormat="1" ht="15" customHeight="1" x14ac:dyDescent="0.2">
      <c r="C60" s="95"/>
      <c r="G60" s="32"/>
      <c r="J60" s="32"/>
      <c r="M60" s="32"/>
      <c r="P60" s="32"/>
      <c r="S60" s="32"/>
    </row>
    <row r="61" spans="1:26" s="15" customFormat="1" ht="15" customHeight="1" x14ac:dyDescent="0.2">
      <c r="C61" s="95"/>
      <c r="G61" s="32"/>
      <c r="J61" s="32"/>
      <c r="M61" s="32"/>
      <c r="P61" s="32"/>
      <c r="S61" s="32"/>
    </row>
    <row r="62" spans="1:26" s="15" customFormat="1" ht="15" customHeight="1" x14ac:dyDescent="0.2">
      <c r="C62" s="95"/>
      <c r="G62" s="32"/>
      <c r="J62" s="32"/>
      <c r="M62" s="32"/>
      <c r="P62" s="32"/>
      <c r="S62" s="32"/>
    </row>
    <row r="63" spans="1:26" s="15" customFormat="1" ht="15" customHeight="1" x14ac:dyDescent="0.2">
      <c r="C63" s="95"/>
      <c r="G63" s="32"/>
      <c r="J63" s="32"/>
      <c r="M63" s="32"/>
      <c r="P63" s="32"/>
      <c r="S63" s="32"/>
    </row>
    <row r="64" spans="1:26" s="15" customFormat="1" ht="15" customHeight="1" x14ac:dyDescent="0.2">
      <c r="C64" s="95"/>
      <c r="G64" s="32"/>
      <c r="J64" s="32"/>
      <c r="M64" s="32"/>
      <c r="P64" s="32"/>
      <c r="S64" s="32"/>
    </row>
    <row r="65" spans="3:19" s="15" customFormat="1" ht="15" customHeight="1" x14ac:dyDescent="0.2">
      <c r="C65" s="95"/>
      <c r="G65" s="32"/>
      <c r="J65" s="32"/>
      <c r="M65" s="32"/>
      <c r="P65" s="32"/>
      <c r="S65" s="32"/>
    </row>
    <row r="66" spans="3:19" s="15" customFormat="1" ht="15" customHeight="1" x14ac:dyDescent="0.2">
      <c r="C66" s="95"/>
      <c r="G66" s="32"/>
      <c r="J66" s="32"/>
      <c r="M66" s="32"/>
      <c r="P66" s="32"/>
      <c r="S66" s="32"/>
    </row>
    <row r="67" spans="3:19" s="15" customFormat="1" ht="15" customHeight="1" x14ac:dyDescent="0.2">
      <c r="C67" s="95"/>
      <c r="G67" s="32"/>
      <c r="J67" s="32"/>
      <c r="M67" s="32"/>
      <c r="P67" s="32"/>
      <c r="S67" s="32"/>
    </row>
    <row r="68" spans="3:19" s="15" customFormat="1" ht="15" customHeight="1" x14ac:dyDescent="0.2">
      <c r="C68" s="95"/>
      <c r="G68" s="32"/>
      <c r="J68" s="32"/>
      <c r="M68" s="32"/>
      <c r="P68" s="32"/>
      <c r="S68" s="32"/>
    </row>
    <row r="69" spans="3:19" s="15" customFormat="1" ht="15" customHeight="1" x14ac:dyDescent="0.2">
      <c r="C69" s="95"/>
      <c r="G69" s="32"/>
      <c r="J69" s="32"/>
      <c r="M69" s="32"/>
      <c r="P69" s="32"/>
      <c r="S69" s="32"/>
    </row>
    <row r="70" spans="3:19" s="15" customFormat="1" ht="15" customHeight="1" x14ac:dyDescent="0.2">
      <c r="C70" s="95"/>
      <c r="G70" s="32"/>
      <c r="J70" s="32"/>
      <c r="M70" s="32"/>
      <c r="P70" s="32"/>
      <c r="S70" s="32"/>
    </row>
    <row r="71" spans="3:19" s="15" customFormat="1" ht="15" customHeight="1" x14ac:dyDescent="0.2">
      <c r="C71" s="95"/>
      <c r="G71" s="32"/>
      <c r="J71" s="32"/>
      <c r="M71" s="32"/>
      <c r="P71" s="32"/>
      <c r="S71" s="32"/>
    </row>
    <row r="72" spans="3:19" s="15" customFormat="1" ht="15" customHeight="1" x14ac:dyDescent="0.2">
      <c r="C72" s="95"/>
      <c r="G72" s="32"/>
      <c r="J72" s="32"/>
      <c r="M72" s="32"/>
      <c r="P72" s="32"/>
      <c r="S72" s="32"/>
    </row>
    <row r="73" spans="3:19" s="15" customFormat="1" ht="15" customHeight="1" x14ac:dyDescent="0.2">
      <c r="C73" s="95"/>
      <c r="G73" s="32"/>
      <c r="J73" s="32"/>
      <c r="M73" s="32"/>
      <c r="P73" s="32"/>
      <c r="S73" s="32"/>
    </row>
    <row r="74" spans="3:19" s="15" customFormat="1" ht="15" customHeight="1" x14ac:dyDescent="0.2">
      <c r="C74" s="95"/>
      <c r="G74" s="32"/>
      <c r="J74" s="32"/>
      <c r="M74" s="32"/>
      <c r="P74" s="32"/>
      <c r="S74" s="32"/>
    </row>
    <row r="75" spans="3:19" s="15" customFormat="1" ht="15" customHeight="1" x14ac:dyDescent="0.2">
      <c r="C75" s="95"/>
      <c r="G75" s="32"/>
      <c r="J75" s="32"/>
      <c r="M75" s="32"/>
      <c r="P75" s="32"/>
      <c r="S75" s="32"/>
    </row>
    <row r="76" spans="3:19" s="15" customFormat="1" ht="15" customHeight="1" x14ac:dyDescent="0.2">
      <c r="C76" s="95"/>
      <c r="G76" s="32"/>
      <c r="J76" s="32"/>
      <c r="M76" s="32"/>
      <c r="P76" s="32"/>
      <c r="S76" s="32"/>
    </row>
    <row r="77" spans="3:19" s="15" customFormat="1" ht="15" customHeight="1" x14ac:dyDescent="0.2">
      <c r="C77" s="95"/>
      <c r="G77" s="32"/>
      <c r="J77" s="32"/>
      <c r="M77" s="32"/>
      <c r="P77" s="32"/>
      <c r="S77" s="32"/>
    </row>
    <row r="78" spans="3:19" s="15" customFormat="1" ht="15" customHeight="1" x14ac:dyDescent="0.2">
      <c r="C78" s="95"/>
      <c r="G78" s="32"/>
      <c r="J78" s="32"/>
      <c r="M78" s="32"/>
      <c r="P78" s="32"/>
      <c r="S78" s="32"/>
    </row>
    <row r="79" spans="3:19" s="15" customFormat="1" ht="15" customHeight="1" x14ac:dyDescent="0.2">
      <c r="C79" s="95"/>
      <c r="G79" s="32"/>
      <c r="J79" s="32"/>
      <c r="M79" s="32"/>
      <c r="P79" s="32"/>
      <c r="S79" s="32"/>
    </row>
    <row r="80" spans="3:19" s="15" customFormat="1" ht="15" customHeight="1" x14ac:dyDescent="0.2">
      <c r="C80" s="95"/>
      <c r="G80" s="32"/>
      <c r="J80" s="32"/>
      <c r="M80" s="32"/>
      <c r="P80" s="32"/>
      <c r="S80" s="32"/>
    </row>
  </sheetData>
  <sheetProtection sheet="1" objects="1" scenarios="1"/>
  <mergeCells count="52">
    <mergeCell ref="V48:Z48"/>
    <mergeCell ref="V49:Z49"/>
    <mergeCell ref="V50:Z50"/>
    <mergeCell ref="V51:Z51"/>
    <mergeCell ref="V52:Z52"/>
    <mergeCell ref="V43:Z43"/>
    <mergeCell ref="V44:Z44"/>
    <mergeCell ref="V45:Z45"/>
    <mergeCell ref="V46:Z46"/>
    <mergeCell ref="V47:Z47"/>
    <mergeCell ref="V37:Z37"/>
    <mergeCell ref="V38:Z38"/>
    <mergeCell ref="V39:Z39"/>
    <mergeCell ref="V40:Z40"/>
    <mergeCell ref="V41:Z41"/>
    <mergeCell ref="V32:Z32"/>
    <mergeCell ref="V33:Z33"/>
    <mergeCell ref="V34:Z34"/>
    <mergeCell ref="V35:Z35"/>
    <mergeCell ref="V36:Z36"/>
    <mergeCell ref="V25:Z25"/>
    <mergeCell ref="V27:Z27"/>
    <mergeCell ref="V28:Z28"/>
    <mergeCell ref="V30:Z30"/>
    <mergeCell ref="V31:Z31"/>
    <mergeCell ref="V20:Z20"/>
    <mergeCell ref="V21:Z21"/>
    <mergeCell ref="V22:Z22"/>
    <mergeCell ref="V23:Z23"/>
    <mergeCell ref="V24:Z24"/>
    <mergeCell ref="V15:Z15"/>
    <mergeCell ref="V16:Z16"/>
    <mergeCell ref="V17:Z17"/>
    <mergeCell ref="V18:Z18"/>
    <mergeCell ref="V19:Z19"/>
    <mergeCell ref="V10:Z10"/>
    <mergeCell ref="V11:Z11"/>
    <mergeCell ref="V12:Z12"/>
    <mergeCell ref="V13:Z13"/>
    <mergeCell ref="V14:Z14"/>
    <mergeCell ref="F7:H7"/>
    <mergeCell ref="I7:K7"/>
    <mergeCell ref="L7:N7"/>
    <mergeCell ref="O7:Q7"/>
    <mergeCell ref="R7:T7"/>
    <mergeCell ref="B3:C3"/>
    <mergeCell ref="A5:T5"/>
    <mergeCell ref="F6:H6"/>
    <mergeCell ref="I6:K6"/>
    <mergeCell ref="L6:N6"/>
    <mergeCell ref="O6:Q6"/>
    <mergeCell ref="R6:T6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300-000000000000}">
  <sheetPr>
    <tabColor rgb="FFBDD7EE"/>
  </sheetPr>
  <dimension ref="A1:AP126"/>
  <sheetViews>
    <sheetView showGridLines="0" tabSelected="1" topLeftCell="B1" zoomScale="125" zoomScaleNormal="125" workbookViewId="0">
      <pane ySplit="1" topLeftCell="A2" activePane="bottomLeft" state="frozen"/>
      <selection activeCell="B1" sqref="B1"/>
      <selection pane="bottomLeft" activeCell="I84" sqref="I84"/>
    </sheetView>
  </sheetViews>
  <sheetFormatPr baseColWidth="10" defaultColWidth="8.83203125" defaultRowHeight="15" outlineLevelRow="1" x14ac:dyDescent="0.2"/>
  <cols>
    <col min="1" max="1" width="4.83203125" style="15" customWidth="1"/>
    <col min="2" max="2" width="46" customWidth="1"/>
    <col min="3" max="3" width="3.6640625" customWidth="1"/>
    <col min="4" max="9" width="16.6640625" customWidth="1"/>
    <col min="10" max="10" width="5.33203125" style="15" customWidth="1"/>
    <col min="11" max="37" width="9" style="15" customWidth="1"/>
  </cols>
  <sheetData>
    <row r="1" spans="1:42" ht="24" customHeight="1" x14ac:dyDescent="0.3">
      <c r="B1" s="14" t="s">
        <v>180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42" s="146" customFormat="1" ht="19.5" customHeight="1" x14ac:dyDescent="0.25">
      <c r="A2" s="141"/>
      <c r="B2" s="142" t="s">
        <v>48</v>
      </c>
      <c r="C2" s="141"/>
      <c r="D2" s="143"/>
      <c r="E2" s="144">
        <v>1</v>
      </c>
      <c r="F2" s="144">
        <v>2</v>
      </c>
      <c r="G2" s="144">
        <v>3</v>
      </c>
      <c r="H2" s="144">
        <v>4</v>
      </c>
      <c r="I2" s="145">
        <v>5</v>
      </c>
      <c r="J2" s="141"/>
      <c r="K2" s="141"/>
      <c r="L2" s="141" t="s">
        <v>29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</row>
    <row r="3" spans="1:42" s="153" customFormat="1" ht="64.5" customHeight="1" x14ac:dyDescent="0.2">
      <c r="A3" s="147"/>
      <c r="B3" s="148" t="s">
        <v>49</v>
      </c>
      <c r="C3" s="149"/>
      <c r="D3" s="150" t="s">
        <v>50</v>
      </c>
      <c r="E3" s="151">
        <f>'Rental (BOM)'!D4</f>
      </c>
      <c r="F3" s="151">
        <f>'Rental (BOM)'!F4</f>
      </c>
      <c r="G3" s="151">
        <f>'Rental (BOM)'!H4</f>
      </c>
      <c r="H3" s="151">
        <f>'Rental (BOM)'!J4</f>
      </c>
      <c r="I3" s="152">
        <f>'Rental (BOM)'!L4</f>
      </c>
      <c r="J3" s="147"/>
      <c r="K3" s="13" t="inlineStr">
        <is>
          <t xml:space="preserve"/>
        </is>
      </c>
      <c r="L3" s="13"/>
      <c r="M3" s="13"/>
      <c r="N3" s="13"/>
      <c r="O3" s="13"/>
      <c r="P3" s="13"/>
      <c r="Q3" s="13"/>
      <c r="R3" s="13"/>
      <c r="S3" s="13"/>
      <c r="T3" s="13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</row>
    <row r="4" spans="1:42" s="153" customFormat="1" ht="15.75" customHeight="1" x14ac:dyDescent="0.2">
      <c r="A4" s="147"/>
      <c r="B4" s="148" t="s">
        <v>51</v>
      </c>
      <c r="C4" s="149"/>
      <c r="D4" s="150" t="s">
        <v>50</v>
      </c>
      <c r="E4" s="154">
        <v>0</v>
      </c>
      <c r="F4" s="154">
        <v>0</v>
      </c>
      <c r="G4" s="154">
        <v>0</v>
      </c>
      <c r="H4" s="154">
        <v>0</v>
      </c>
      <c r="I4" s="155">
        <v>0</v>
      </c>
      <c r="J4" s="147"/>
      <c r="K4" s="13"/>
      <c r="L4" s="13"/>
      <c r="M4" s="13"/>
      <c r="N4" s="13"/>
      <c r="O4" s="13"/>
      <c r="P4" s="13"/>
      <c r="Q4" s="13"/>
      <c r="R4" s="13"/>
      <c r="S4" s="13"/>
      <c r="T4" s="13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</row>
    <row r="5" spans="1:42" s="153" customFormat="1" ht="15.75" customHeight="1" x14ac:dyDescent="0.2">
      <c r="A5" s="147"/>
      <c r="B5" s="148" t="s">
        <v>52</v>
      </c>
      <c r="C5" s="149"/>
      <c r="D5" s="150" t="s">
        <v>50</v>
      </c>
      <c r="E5" s="154">
        <v>0</v>
      </c>
      <c r="F5" s="154">
        <v>0</v>
      </c>
      <c r="G5" s="154">
        <v>0</v>
      </c>
      <c r="H5" s="154">
        <v>0</v>
      </c>
      <c r="I5" s="155">
        <v>0</v>
      </c>
      <c r="J5" s="147"/>
      <c r="K5" s="13"/>
      <c r="L5" s="13"/>
      <c r="M5" s="13"/>
      <c r="N5" s="13"/>
      <c r="O5" s="13"/>
      <c r="P5" s="13"/>
      <c r="Q5" s="13"/>
      <c r="R5" s="13"/>
      <c r="S5" s="13"/>
      <c r="T5" s="13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</row>
    <row r="6" spans="1:42" s="153" customFormat="1" ht="15.75" customHeight="1" x14ac:dyDescent="0.2">
      <c r="A6" s="147"/>
      <c r="B6" s="148" t="s">
        <v>53</v>
      </c>
      <c r="C6" s="149"/>
      <c r="D6" s="150" t="s">
        <v>50</v>
      </c>
      <c r="E6" s="156">
        <v>0</v>
      </c>
      <c r="F6" s="156">
        <v>0</v>
      </c>
      <c r="G6" s="156">
        <v>0</v>
      </c>
      <c r="H6" s="156">
        <v>0</v>
      </c>
      <c r="I6" s="157">
        <v>0</v>
      </c>
      <c r="J6" s="147"/>
      <c r="K6" s="13"/>
      <c r="L6" s="13"/>
      <c r="M6" s="13"/>
      <c r="N6" s="13"/>
      <c r="O6" s="13"/>
      <c r="P6" s="13"/>
      <c r="Q6" s="13"/>
      <c r="R6" s="13"/>
      <c r="S6" s="13"/>
      <c r="T6" s="13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</row>
    <row r="7" spans="1:42" s="153" customFormat="1" ht="15.75" customHeight="1" x14ac:dyDescent="0.2">
      <c r="A7" s="147"/>
      <c r="B7" s="148" t="s">
        <v>54</v>
      </c>
      <c r="C7" s="149"/>
      <c r="D7" s="150" t="s">
        <v>50</v>
      </c>
      <c r="E7" s="156">
        <v>0</v>
      </c>
      <c r="F7" s="156">
        <v>0</v>
      </c>
      <c r="G7" s="156">
        <v>0</v>
      </c>
      <c r="H7" s="156">
        <v>0</v>
      </c>
      <c r="I7" s="157">
        <v>0</v>
      </c>
      <c r="J7" s="147"/>
      <c r="K7" s="13"/>
      <c r="L7" s="13"/>
      <c r="M7" s="13"/>
      <c r="N7" s="13"/>
      <c r="O7" s="13"/>
      <c r="P7" s="13"/>
      <c r="Q7" s="13"/>
      <c r="R7" s="13"/>
      <c r="S7" s="13"/>
      <c r="T7" s="13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</row>
    <row r="8" spans="1:42" s="153" customFormat="1" ht="16.5" customHeight="1" x14ac:dyDescent="0.2">
      <c r="A8" s="147"/>
      <c r="B8" s="158"/>
      <c r="C8" s="149"/>
      <c r="D8" s="159" t="s">
        <v>20</v>
      </c>
      <c r="E8" s="160" t="s">
        <v>20</v>
      </c>
      <c r="F8" s="161"/>
      <c r="G8" s="161"/>
      <c r="H8" s="161"/>
      <c r="I8" s="162"/>
      <c r="J8" s="147"/>
      <c r="K8" s="13"/>
      <c r="L8" s="13"/>
      <c r="M8" s="13"/>
      <c r="N8" s="13"/>
      <c r="O8" s="13"/>
      <c r="P8" s="13"/>
      <c r="Q8" s="13"/>
      <c r="R8" s="13"/>
      <c r="S8" s="13"/>
      <c r="T8" s="13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</row>
    <row r="9" spans="1:42" s="147" customFormat="1" ht="15.75" hidden="1" customHeight="1" outlineLevel="1" x14ac:dyDescent="0.2">
      <c r="B9" s="149"/>
      <c r="C9" s="149"/>
      <c r="D9" s="163"/>
      <c r="E9" s="163"/>
      <c r="F9" s="163"/>
      <c r="G9" s="163"/>
      <c r="H9" s="163"/>
      <c r="I9" s="163"/>
    </row>
    <row r="10" spans="1:42" s="153" customFormat="1" ht="18.75" hidden="1" customHeight="1" outlineLevel="1" x14ac:dyDescent="0.25">
      <c r="A10" s="147"/>
      <c r="B10" s="164" t="s">
        <v>55</v>
      </c>
      <c r="C10" s="149"/>
      <c r="D10" s="165" t="s">
        <v>56</v>
      </c>
      <c r="E10" s="166">
        <v>1</v>
      </c>
      <c r="F10" s="167">
        <v>2</v>
      </c>
      <c r="G10" s="167">
        <v>3</v>
      </c>
      <c r="H10" s="168">
        <v>4</v>
      </c>
      <c r="I10" s="169">
        <v>5</v>
      </c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</row>
    <row r="11" spans="1:42" s="146" customFormat="1" ht="15.75" hidden="1" customHeight="1" outlineLevel="1" x14ac:dyDescent="0.2">
      <c r="A11" s="141"/>
      <c r="B11" s="170" t="s">
        <v>57</v>
      </c>
      <c r="C11" s="171"/>
      <c r="D11" s="172">
        <f>SUM(D12:D22)</f>
      </c>
      <c r="E11" s="173">
        <f>SUM(E12:E22)</f>
      </c>
      <c r="F11" s="174">
        <f>SUM(F12:F22)</f>
      </c>
      <c r="G11" s="174">
        <f>SUM(G12:G22)</f>
      </c>
      <c r="H11" s="175">
        <f>SUM(H12:H22)</f>
      </c>
      <c r="I11" s="176">
        <f>SUM(I12:I22)</f>
      </c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</row>
    <row r="12" spans="1:42" s="153" customFormat="1" ht="15.75" hidden="1" customHeight="1" outlineLevel="1" x14ac:dyDescent="0.2">
      <c r="A12" s="147"/>
      <c r="B12" s="177" t="s">
        <v>58</v>
      </c>
      <c r="C12" s="178"/>
      <c r="D12" s="179">
        <f>SUM(E12,F12,G12,H12,I12)</f>
      </c>
      <c r="E12" s="180">
        <f>SUMIF('Rental (BOM)'!$B$10:$B$104,Pricing!B12,'Rental (BOM)'!$E$10:$E$104)*$E$5</f>
      </c>
      <c r="F12" s="180">
        <f>SUMIF('Rental (BOM)'!$B$10:$B$104,Pricing!B12,'Rental (BOM)'!$G$10:$G$104)*$F$5</f>
      </c>
      <c r="G12" s="180">
        <f>SUMIF('Rental (BOM)'!$B$10:$B$104,Pricing!B12,'Rental (BOM)'!$I$10:$I$104)*$G$5</f>
      </c>
      <c r="H12" s="180">
        <f>SUMIF('Rental (BOM)'!$B$10:$B$104,Pricing!B12,'Rental (BOM)'!$K$10:$M$104)*$H$5</f>
      </c>
      <c r="I12" s="181">
        <f>SUMIF('Rental (BOM)'!$B$10:$B$104,Pricing!B12,'Rental (BOM)'!$M$10:$M$104)*$I$5</f>
      </c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</row>
    <row r="13" spans="1:42" s="153" customFormat="1" ht="15.75" hidden="1" customHeight="1" outlineLevel="1" x14ac:dyDescent="0.2">
      <c r="A13" s="147"/>
      <c r="B13" s="177" t="s">
        <v>59</v>
      </c>
      <c r="C13" s="178"/>
      <c r="D13" s="179">
        <f>SUM(E13,F13,G13,H13,I13)</f>
      </c>
      <c r="E13" s="180">
        <f>SUMIF('Rental (BOM)'!$B$10:$B$104,Pricing!B13,'Rental (BOM)'!$E$10:$E$104)*$E$5</f>
      </c>
      <c r="F13" s="180">
        <f>SUMIF('Rental (BOM)'!$B$10:$B$104,Pricing!B13,'Rental (BOM)'!$G$10:$G$104)*$F$5</f>
      </c>
      <c r="G13" s="180">
        <f>SUMIF('Rental (BOM)'!$B$10:$B$104,Pricing!B13,'Rental (BOM)'!$I$10:$I$104)*$G$5</f>
      </c>
      <c r="H13" s="180">
        <f>SUMIF('Rental (BOM)'!$B$10:$B$104,Pricing!B13,'Rental (BOM)'!$K$10:$M$104)*$H$5</f>
      </c>
      <c r="I13" s="181">
        <f>SUMIF('Rental (BOM)'!$B$10:$B$104,Pricing!B13,'Rental (BOM)'!$M$10:$M$104)*$I$5</f>
      </c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</row>
    <row r="14" spans="1:42" s="153" customFormat="1" ht="15.75" hidden="1" customHeight="1" outlineLevel="1" x14ac:dyDescent="0.2">
      <c r="A14" s="147"/>
      <c r="B14" s="177" t="s">
        <v>60</v>
      </c>
      <c r="C14" s="178"/>
      <c r="D14" s="179">
        <f>SUM(E14,F14,G14,H14,I14)</f>
      </c>
      <c r="E14" s="180">
        <f>SUMIF('Rental (BOM)'!$B$10:$B$104,Pricing!B14,'Rental (BOM)'!$E$10:$E$104)*$E$5</f>
      </c>
      <c r="F14" s="180">
        <f>SUMIF('Rental (BOM)'!$B$10:$B$104,Pricing!B14,'Rental (BOM)'!$G$10:$G$104)*$F$5</f>
      </c>
      <c r="G14" s="180">
        <f>SUMIF('Rental (BOM)'!$B$10:$B$104,Pricing!B14,'Rental (BOM)'!$I$10:$I$104)*$G$5</f>
      </c>
      <c r="H14" s="180">
        <f>SUMIF('Rental (BOM)'!$B$10:$B$104,Pricing!B14,'Rental (BOM)'!$K$10:$M$104)*$H$5</f>
      </c>
      <c r="I14" s="181">
        <f>SUMIF('Rental (BOM)'!$B$10:$B$104,Pricing!B14,'Rental (BOM)'!$M$10:$M$104)*$I$5</f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</row>
    <row r="15" spans="1:42" s="153" customFormat="1" ht="15.75" hidden="1" customHeight="1" outlineLevel="1" x14ac:dyDescent="0.2">
      <c r="A15" s="147"/>
      <c r="B15" s="177" t="s">
        <v>61</v>
      </c>
      <c r="C15" s="178"/>
      <c r="D15" s="179">
        <f>SUM(E15,F15,G15,H15,I15)</f>
      </c>
      <c r="E15" s="180">
        <f>SUMIF('Rental (BOM)'!$B$10:$B$104,Pricing!B15,'Rental (BOM)'!$E$10:$E$104)*$E$5</f>
      </c>
      <c r="F15" s="180">
        <f>SUMIF('Rental (BOM)'!$B$10:$B$104,Pricing!B15,'Rental (BOM)'!$G$10:$G$104)*$F$5</f>
      </c>
      <c r="G15" s="180">
        <f>SUMIF('Rental (BOM)'!$B$10:$B$104,Pricing!B15,'Rental (BOM)'!$I$10:$I$104)*$G$5</f>
      </c>
      <c r="H15" s="180">
        <f>SUMIF('Rental (BOM)'!$B$10:$B$104,Pricing!B15,'Rental (BOM)'!$K$10:$M$104)*$H$5</f>
      </c>
      <c r="I15" s="181">
        <f>SUMIF('Rental (BOM)'!$B$10:$B$104,Pricing!B15,'Rental (BOM)'!$M$10:$M$104)*$I$5</f>
      </c>
      <c r="J15" s="147"/>
      <c r="K15" s="182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</row>
    <row r="16" spans="1:42" s="153" customFormat="1" ht="15.75" hidden="1" customHeight="1" outlineLevel="1" x14ac:dyDescent="0.2">
      <c r="A16" s="147"/>
      <c r="B16" s="177" t="s">
        <v>62</v>
      </c>
      <c r="C16" s="178"/>
      <c r="D16" s="179">
        <f>SUM(E16,F16,G16,H16,I16)</f>
      </c>
      <c r="E16" s="180">
        <f>SUMIF('Rental (BOM)'!$B$10:$B$104,Pricing!B16,'Rental (BOM)'!$E$10:$E$104)*$E$5</f>
      </c>
      <c r="F16" s="180">
        <f>SUMIF('Rental (BOM)'!$B$10:$B$104,Pricing!B16,'Rental (BOM)'!$G$10:$G$104)*$F$5</f>
      </c>
      <c r="G16" s="180">
        <f>SUMIF('Rental (BOM)'!$B$10:$B$104,Pricing!B16,'Rental (BOM)'!$I$10:$I$104)*$G$5</f>
      </c>
      <c r="H16" s="180">
        <f>SUMIF('Rental (BOM)'!$B$10:$B$104,Pricing!B16,'Rental (BOM)'!$K$10:$M$104)*$H$5</f>
      </c>
      <c r="I16" s="181">
        <f>SUMIF('Rental (BOM)'!$B$10:$B$104,Pricing!B16,'Rental (BOM)'!$M$10:$M$104)*$I$5</f>
      </c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</row>
    <row r="17" spans="1:42" s="153" customFormat="1" ht="15.75" hidden="1" customHeight="1" outlineLevel="1" x14ac:dyDescent="0.2">
      <c r="A17" s="147"/>
      <c r="B17" s="177" t="s">
        <v>63</v>
      </c>
      <c r="C17" s="178"/>
      <c r="D17" s="179">
        <f>SUM(E17,F17,G17,H17,I17)</f>
      </c>
      <c r="E17" s="180">
        <f>SUMIF('Rental (BOM)'!$B$10:$B$104,Pricing!B17,'Rental (BOM)'!$E$10:$E$104)*$E$5</f>
      </c>
      <c r="F17" s="180">
        <f>SUMIF('Rental (BOM)'!$B$10:$B$104,Pricing!B17,'Rental (BOM)'!$G$10:$G$104)*$F$5</f>
      </c>
      <c r="G17" s="180">
        <f>SUMIF('Rental (BOM)'!$B$10:$B$104,Pricing!B17,'Rental (BOM)'!$I$10:$I$104)*$G$5</f>
      </c>
      <c r="H17" s="180">
        <f>SUMIF('Rental (BOM)'!$B$10:$B$104,Pricing!B17,'Rental (BOM)'!$K$10:$M$104)*$H$5</f>
      </c>
      <c r="I17" s="181">
        <f>SUMIF('Rental (BOM)'!$B$10:$B$104,Pricing!B17,'Rental (BOM)'!$M$10:$M$104)*$I$5</f>
      </c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</row>
    <row r="18" spans="1:42" s="153" customFormat="1" ht="15.75" hidden="1" customHeight="1" outlineLevel="1" x14ac:dyDescent="0.2">
      <c r="A18" s="147"/>
      <c r="B18" s="177" t="s">
        <v>64</v>
      </c>
      <c r="C18" s="178"/>
      <c r="D18" s="179">
        <f>SUM(E18,F18,G18,H18,I18)</f>
      </c>
      <c r="E18" s="180">
        <f>SUMIF('Rental (BOM)'!$B$10:$B$104,Pricing!B18,'Rental (BOM)'!$E$10:$E$104)*$E$5</f>
      </c>
      <c r="F18" s="180">
        <f>SUMIF('Rental (BOM)'!$B$10:$B$104,Pricing!B18,'Rental (BOM)'!$G$10:$G$104)*$F$5</f>
      </c>
      <c r="G18" s="180">
        <f>SUMIF('Rental (BOM)'!$B$10:$B$104,Pricing!B18,'Rental (BOM)'!$I$10:$I$104)*$G$5</f>
      </c>
      <c r="H18" s="180">
        <f>SUMIF('Rental (BOM)'!$B$10:$B$104,Pricing!B18,'Rental (BOM)'!$K$10:$M$104)*$H$5</f>
      </c>
      <c r="I18" s="181">
        <f>SUMIF('Rental (BOM)'!$B$10:$B$104,Pricing!B18,'Rental (BOM)'!$M$10:$M$104)*$I$5</f>
      </c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</row>
    <row r="19" spans="1:42" s="153" customFormat="1" ht="15.75" hidden="1" customHeight="1" outlineLevel="1" x14ac:dyDescent="0.2">
      <c r="A19" s="147"/>
      <c r="B19" s="177" t="s">
        <v>65</v>
      </c>
      <c r="C19" s="178"/>
      <c r="D19" s="179">
        <f>SUM(E19,F19,G19,H19,I19)</f>
      </c>
      <c r="E19" s="180">
        <f>SUMIF('Rental (BOM)'!$B$10:$B$104,Pricing!B19,'Rental (BOM)'!$E$10:$E$104)*$E$5</f>
      </c>
      <c r="F19" s="180">
        <f>SUMIF('Rental (BOM)'!$B$10:$B$104,Pricing!B19,'Rental (BOM)'!$G$10:$G$104)*$F$5</f>
      </c>
      <c r="G19" s="180">
        <f>SUMIF('Rental (BOM)'!$B$10:$B$104,Pricing!B19,'Rental (BOM)'!$I$10:$I$104)*$G$5</f>
      </c>
      <c r="H19" s="180">
        <f>SUMIF('Rental (BOM)'!$B$10:$B$104,Pricing!B19,'Rental (BOM)'!$K$10:$M$104)*$H$5</f>
      </c>
      <c r="I19" s="181">
        <f>SUMIF('Rental (BOM)'!$B$10:$B$104,Pricing!B19,'Rental (BOM)'!$M$10:$M$104)*$I$5</f>
      </c>
      <c r="J19" s="147"/>
      <c r="K19" s="182" t="s">
        <v>20</v>
      </c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</row>
    <row r="20" spans="1:42" s="153" customFormat="1" ht="15.75" hidden="1" customHeight="1" outlineLevel="1" x14ac:dyDescent="0.2">
      <c r="A20" s="147"/>
      <c r="B20" s="177" t="s">
        <v>66</v>
      </c>
      <c r="C20" s="178"/>
      <c r="D20" s="179">
        <f>SUM(E20,F20,G20,H20,I20)</f>
      </c>
      <c r="E20" s="180">
        <f>SUMIF('Rental (BOM)'!$B$10:$B$104,Pricing!B20,'Rental (BOM)'!$E$10:$E$104)*$E$5</f>
      </c>
      <c r="F20" s="180">
        <f>SUMIF('Rental (BOM)'!$B$10:$B$104,Pricing!B20,'Rental (BOM)'!$G$10:$G$104)*$F$5</f>
      </c>
      <c r="G20" s="180">
        <f>SUMIF('Rental (BOM)'!$B$10:$B$104,Pricing!B20,'Rental (BOM)'!$I$10:$I$104)*$G$5</f>
      </c>
      <c r="H20" s="180">
        <f>SUMIF('Rental (BOM)'!$B$10:$B$104,Pricing!B20,'Rental (BOM)'!$K$10:$M$104)*$H$5</f>
      </c>
      <c r="I20" s="181">
        <f>SUMIF('Rental (BOM)'!$B$10:$B$104,Pricing!B20,'Rental (BOM)'!$M$10:$M$104)*$I$5</f>
      </c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</row>
    <row r="21" spans="1:42" s="153" customFormat="1" ht="15.75" hidden="1" customHeight="1" outlineLevel="1" x14ac:dyDescent="0.2">
      <c r="A21" s="147"/>
      <c r="B21" s="177" t="s">
        <v>67</v>
      </c>
      <c r="C21" s="178"/>
      <c r="D21" s="179">
        <f>SUM(E21,F21,G21,H21,I21)</f>
      </c>
      <c r="E21" s="180">
        <f>SUMIF('Rental (BOM)'!$B$10:$B$104,Pricing!B21,'Rental (BOM)'!$E$10:$E$104)*$E$5</f>
      </c>
      <c r="F21" s="180">
        <f>SUMIF('Rental (BOM)'!$B$10:$B$104,Pricing!B21,'Rental (BOM)'!$G$10:$G$104)*$F$5</f>
      </c>
      <c r="G21" s="180">
        <f>SUMIF('Rental (BOM)'!$B$10:$B$104,Pricing!B21,'Rental (BOM)'!$I$10:$I$104)*$G$5</f>
      </c>
      <c r="H21" s="180">
        <f>SUMIF('Rental (BOM)'!$B$10:$B$104,Pricing!B21,'Rental (BOM)'!$K$10:$M$104)*$H$5</f>
      </c>
      <c r="I21" s="181">
        <f>SUMIF('Rental (BOM)'!$B$10:$B$104,Pricing!B21,'Rental (BOM)'!$M$10:$M$104)*$I$5</f>
      </c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</row>
    <row r="22" spans="1:42" s="153" customFormat="1" ht="15.75" hidden="1" customHeight="1" outlineLevel="1" x14ac:dyDescent="0.2">
      <c r="A22" s="147"/>
      <c r="B22" s="177" t="s">
        <v>68</v>
      </c>
      <c r="C22" s="178"/>
      <c r="D22" s="179">
        <f>SUM(E22,F22,G22,H22,I22)</f>
      </c>
      <c r="E22" s="180">
        <f>SUMIF('Rental (BOM)'!$B$10:$B$104,Pricing!B22,'Rental (BOM)'!$E$10:$E$104)*$E$5</f>
      </c>
      <c r="F22" s="180">
        <f>SUMIF('Rental (BOM)'!$B$10:$B$104,Pricing!B22,'Rental (BOM)'!$G$10:$G$104)*$F$5</f>
      </c>
      <c r="G22" s="180">
        <f>SUMIF('Rental (BOM)'!$B$10:$B$104,Pricing!B22,'Rental (BOM)'!$I$10:$I$104)*$G$5</f>
      </c>
      <c r="H22" s="180">
        <f>SUMIF('Rental (BOM)'!$B$10:$B$104,Pricing!B22,'Rental (BOM)'!$K$10:$M$104)*$H$5</f>
      </c>
      <c r="I22" s="181">
        <f>SUMIF('Rental (BOM)'!$B$10:$B$104,Pricing!B22,'Rental (BOM)'!$M$10:$M$104)*$I$5</f>
      </c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</row>
    <row r="23" spans="1:42" s="153" customFormat="1" ht="15.75" hidden="1" customHeight="1" outlineLevel="1" x14ac:dyDescent="0.2">
      <c r="A23" s="147"/>
      <c r="B23" s="177" t="s">
        <v>30</v>
      </c>
      <c r="C23" s="178"/>
      <c r="D23" s="179"/>
      <c r="E23" s="180"/>
      <c r="F23" s="180"/>
      <c r="G23" s="180"/>
      <c r="H23" s="180"/>
      <c r="I23" s="181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</row>
    <row r="24" spans="1:42" s="153" customFormat="1" ht="15.75" hidden="1" customHeight="1" outlineLevel="1" x14ac:dyDescent="0.2">
      <c r="A24" s="147"/>
      <c r="B24" s="170" t="s">
        <v>69</v>
      </c>
      <c r="C24" s="171"/>
      <c r="D24" s="183">
        <f>SUM(D25:D36)</f>
      </c>
      <c r="E24" s="184">
        <f>SUM(E25:E36)</f>
      </c>
      <c r="F24" s="184">
        <f>SUM(F25:F36)</f>
      </c>
      <c r="G24" s="184">
        <f>SUM(G25:G36)</f>
      </c>
      <c r="H24" s="184">
        <f>SUM(H25:H36)</f>
      </c>
      <c r="I24" s="185">
        <f>SUM(I25:I36)</f>
      </c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</row>
    <row r="25" spans="1:42" s="153" customFormat="1" ht="15.75" hidden="1" customHeight="1" outlineLevel="1" x14ac:dyDescent="0.2">
      <c r="A25" s="147"/>
      <c r="B25" s="177" t="s">
        <v>70</v>
      </c>
      <c r="C25" s="178"/>
      <c r="D25" s="179">
        <f>SUM(E25,F25,G25,H25,I25)</f>
      </c>
      <c r="E25" s="180">
        <f>SUMIF('Rental (BOM)'!$B$106:$B$126,Pricing!B25,'Rental (BOM)'!$E$106:$E$126)*$E$5</f>
      </c>
      <c r="F25" s="180">
        <f>SUMIF('Rental (BOM)'!$B$106:$B$126,Pricing!B25,'Rental (BOM)'!$G$106:$G$126)*$F$5</f>
      </c>
      <c r="G25" s="180">
        <f>SUMIF('Rental (BOM)'!$B$106:$B$126,Pricing!B25,'Rental (BOM)'!$I$106:$I$126)*$G$5</f>
      </c>
      <c r="H25" s="180">
        <f>SUMIF('Rental (BOM)'!$B$106:$B$126,Pricing!B25,'Rental (BOM)'!$K$106:$K$126)*$H$5</f>
      </c>
      <c r="I25" s="181">
        <f>SUMIF('Rental (BOM)'!$B$106:$B$126,Pricing!B25,'Rental (BOM)'!$M$106:$M$126)*$I$5</f>
      </c>
      <c r="J25" s="147"/>
      <c r="K25" s="182" t="s">
        <v>20</v>
      </c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</row>
    <row r="26" spans="1:42" s="153" customFormat="1" ht="15.75" hidden="1" customHeight="1" outlineLevel="1" x14ac:dyDescent="0.2">
      <c r="A26" s="147"/>
      <c r="B26" s="177" t="s">
        <v>71</v>
      </c>
      <c r="C26" s="178"/>
      <c r="D26" s="179">
        <f>SUM(E26,F26,G26,H26,I26)</f>
      </c>
      <c r="E26" s="180">
        <f>SUMIF('Rental (BOM)'!$B$106:$B$126,Pricing!B26,'Rental (BOM)'!$E$106:$E$126)*$E$5</f>
      </c>
      <c r="F26" s="180">
        <f>SUMIF('Rental (BOM)'!$B$106:$B$126,Pricing!B26,'Rental (BOM)'!$G$106:$G$126)*$F$5</f>
      </c>
      <c r="G26" s="180">
        <f>SUMIF('Rental (BOM)'!$B$106:$B$126,Pricing!B26,'Rental (BOM)'!$I$106:$I$126)*$G$5</f>
      </c>
      <c r="H26" s="180">
        <f>SUMIF('Rental (BOM)'!$B$106:$B$126,Pricing!B26,'Rental (BOM)'!$K$106:$K$126)*$H$5</f>
      </c>
      <c r="I26" s="181">
        <f>SUMIF('Rental (BOM)'!$B$106:$B$126,Pricing!B26,'Rental (BOM)'!$M$106:$M$126)*$I$5</f>
      </c>
      <c r="J26" s="147"/>
      <c r="K26" s="147"/>
      <c r="L26" s="147" t="s">
        <v>20</v>
      </c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</row>
    <row r="27" spans="1:42" s="153" customFormat="1" ht="15.75" hidden="1" customHeight="1" outlineLevel="1" x14ac:dyDescent="0.2">
      <c r="A27" s="147"/>
      <c r="B27" s="177" t="s">
        <v>72</v>
      </c>
      <c r="C27" s="178"/>
      <c r="D27" s="179">
        <f>SUM(E27,F27,G27,H27,I27)</f>
      </c>
      <c r="E27" s="180">
        <f>SUMIF('Rental (BOM)'!$B$106:$B$126,Pricing!B27,'Rental (BOM)'!$E$106:$E$126)*$E$5</f>
      </c>
      <c r="F27" s="180">
        <f>SUMIF('Rental (BOM)'!$B$106:$B$126,Pricing!B27,'Rental (BOM)'!$G$106:$G$126)*$F$5</f>
      </c>
      <c r="G27" s="180">
        <f>SUMIF('Rental (BOM)'!$B$106:$B$126,Pricing!B27,'Rental (BOM)'!$I$106:$I$126)*$G$5</f>
      </c>
      <c r="H27" s="180">
        <f>SUMIF('Rental (BOM)'!$B$106:$B$126,Pricing!B27,'Rental (BOM)'!$K$106:$K$126)*$H$5</f>
      </c>
      <c r="I27" s="181">
        <f>SUMIF('Rental (BOM)'!$B$106:$B$126,Pricing!B27,'Rental (BOM)'!$M$106:$M$126)*$I$5</f>
      </c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</row>
    <row r="28" spans="1:42" s="153" customFormat="1" ht="15.75" hidden="1" customHeight="1" outlineLevel="1" x14ac:dyDescent="0.2">
      <c r="A28" s="147"/>
      <c r="B28" s="177" t="s">
        <v>73</v>
      </c>
      <c r="C28" s="178"/>
      <c r="D28" s="179">
        <f>SUM(E28,F28,G28,H28,I28)</f>
      </c>
      <c r="E28" s="180">
        <f>SUMIF('Rental (BOM)'!$B$106:$B$126,Pricing!B28,'Rental (BOM)'!$E$106:$E$126)*$E$5</f>
      </c>
      <c r="F28" s="180">
        <f>SUMIF('Rental (BOM)'!$B$106:$B$126,Pricing!B28,'Rental (BOM)'!$G$106:$G$126)*$F$5</f>
      </c>
      <c r="G28" s="180">
        <f>SUMIF('Rental (BOM)'!$B$106:$B$126,Pricing!B28,'Rental (BOM)'!$I$106:$I$126)*$G$5</f>
      </c>
      <c r="H28" s="180">
        <f>SUMIF('Rental (BOM)'!$B$106:$B$126,Pricing!B28,'Rental (BOM)'!$K$106:$K$126)*$H$5</f>
      </c>
      <c r="I28" s="181">
        <f>SUMIF('Rental (BOM)'!$B$106:$B$126,Pricing!B28,'Rental (BOM)'!$M$106:$M$126)*$I$5</f>
      </c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</row>
    <row r="29" spans="1:42" s="153" customFormat="1" ht="15.75" hidden="1" customHeight="1" outlineLevel="1" x14ac:dyDescent="0.2">
      <c r="A29" s="147"/>
      <c r="B29" s="177" t="s">
        <v>74</v>
      </c>
      <c r="C29" s="178"/>
      <c r="D29" s="179">
        <f>SUM(E29,F29,G29,H29,I29)</f>
      </c>
      <c r="E29" s="180">
        <f>SUMIF('Rental (BOM)'!$B$106:$B$126,Pricing!B29,'Rental (BOM)'!$E$106:$E$126)*$E$5</f>
      </c>
      <c r="F29" s="180">
        <f>SUMIF('Rental (BOM)'!$B$106:$B$126,Pricing!B29,'Rental (BOM)'!$G$106:$G$126)*$F$5</f>
      </c>
      <c r="G29" s="180">
        <f>SUMIF('Rental (BOM)'!$B$106:$B$126,Pricing!B29,'Rental (BOM)'!$I$106:$I$126)*$G$5</f>
      </c>
      <c r="H29" s="180">
        <f>SUMIF('Rental (BOM)'!$B$106:$B$126,Pricing!B29,'Rental (BOM)'!$K$106:$K$126)*$H$5</f>
      </c>
      <c r="I29" s="181">
        <f>SUMIF('Rental (BOM)'!$B$106:$B$126,Pricing!B29,'Rental (BOM)'!$M$106:$M$126)*$I$5</f>
      </c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</row>
    <row r="30" spans="1:42" s="153" customFormat="1" ht="15.75" hidden="1" customHeight="1" outlineLevel="1" x14ac:dyDescent="0.2">
      <c r="A30" s="147"/>
      <c r="B30" s="177" t="s">
        <v>75</v>
      </c>
      <c r="C30" s="178"/>
      <c r="D30" s="179">
        <f>SUM(E30,F30,G30,H30,I30)</f>
      </c>
      <c r="E30" s="180">
        <f>SUMIF('Rental (BOM)'!$B$106:$B$126,Pricing!B30,'Rental (BOM)'!$E$106:$E$126)*$E$5</f>
      </c>
      <c r="F30" s="180">
        <f>SUMIF('Rental (BOM)'!$B$106:$B$126,Pricing!B30,'Rental (BOM)'!$G$106:$G$126)*$F$5</f>
      </c>
      <c r="G30" s="180">
        <f>SUMIF('Rental (BOM)'!$B$106:$B$126,Pricing!B30,'Rental (BOM)'!$I$106:$I$126)*$G$5</f>
      </c>
      <c r="H30" s="180">
        <f>SUMIF('Rental (BOM)'!$B$106:$B$126,Pricing!B30,'Rental (BOM)'!$K$106:$K$126)*$H$5</f>
      </c>
      <c r="I30" s="181">
        <f>SUMIF('Rental (BOM)'!$B$106:$B$126,Pricing!B30,'Rental (BOM)'!$M$106:$M$126)*$I$5</f>
      </c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</row>
    <row r="31" spans="1:42" s="153" customFormat="1" ht="15.75" hidden="1" customHeight="1" outlineLevel="1" x14ac:dyDescent="0.2">
      <c r="A31" s="147"/>
      <c r="B31" s="177" t="s">
        <v>76</v>
      </c>
      <c r="C31" s="178"/>
      <c r="D31" s="179">
        <f>SUM(E31,F31,G31,H31,I31)</f>
      </c>
      <c r="E31" s="180">
        <f>SUMIF('Rental (BOM)'!$B$106:$B$126,Pricing!B31,'Rental (BOM)'!$E$106:$E$126)*$E$5</f>
      </c>
      <c r="F31" s="180">
        <f>SUMIF('Rental (BOM)'!$B$106:$B$126,Pricing!B31,'Rental (BOM)'!$G$106:$G$126)*$F$5</f>
      </c>
      <c r="G31" s="180">
        <f>SUMIF('Rental (BOM)'!$B$106:$B$126,Pricing!B31,'Rental (BOM)'!$I$106:$I$126)*$G$5</f>
      </c>
      <c r="H31" s="180">
        <f>SUMIF('Rental (BOM)'!$B$106:$B$126,Pricing!B31,'Rental (BOM)'!$K$106:$K$126)*$H$5</f>
      </c>
      <c r="I31" s="181">
        <f>SUMIF('Rental (BOM)'!$B$106:$B$126,Pricing!B31,'Rental (BOM)'!$M$106:$M$126)*$I$5</f>
      </c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</row>
    <row r="32" spans="1:42" s="153" customFormat="1" ht="15.75" hidden="1" customHeight="1" outlineLevel="1" x14ac:dyDescent="0.2">
      <c r="A32" s="147"/>
      <c r="B32" s="177" t="s">
        <v>77</v>
      </c>
      <c r="C32" s="178"/>
      <c r="D32" s="179">
        <f>SUM(E32,F32,G32,H32,I32)</f>
      </c>
      <c r="E32" s="180">
        <f>SUMIF('Rental (BOM)'!$B$106:$B$126,Pricing!B32,'Rental (BOM)'!$E$106:$E$126)*$E$5</f>
      </c>
      <c r="F32" s="180">
        <f>SUMIF('Rental (BOM)'!$B$106:$B$126,Pricing!B32,'Rental (BOM)'!$G$106:$G$126)*$F$5</f>
      </c>
      <c r="G32" s="180">
        <f>SUMIF('Rental (BOM)'!$B$106:$B$126,Pricing!B32,'Rental (BOM)'!$I$106:$I$126)*$G$5</f>
      </c>
      <c r="H32" s="180">
        <f>SUMIF('Rental (BOM)'!$B$106:$B$126,Pricing!B32,'Rental (BOM)'!$K$106:$K$126)*$H$5</f>
      </c>
      <c r="I32" s="181">
        <f>SUMIF('Rental (BOM)'!$B$106:$B$126,Pricing!B32,'Rental (BOM)'!$M$106:$M$126)*$I$5</f>
      </c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</row>
    <row r="33" spans="1:42" s="153" customFormat="1" ht="15.75" hidden="1" customHeight="1" outlineLevel="1" x14ac:dyDescent="0.2">
      <c r="A33" s="147"/>
      <c r="B33" s="177" t="s">
        <v>78</v>
      </c>
      <c r="C33" s="178"/>
      <c r="D33" s="179">
        <f>SUM(E33,F33,G33,H33,I33)</f>
      </c>
      <c r="E33" s="180">
        <f>SUMIF('Rental (BOM)'!$B$106:$B$126,Pricing!B33,'Rental (BOM)'!$E$106:$E$126)*$E$5</f>
      </c>
      <c r="F33" s="180">
        <f>SUMIF('Rental (BOM)'!$B$106:$B$126,Pricing!B33,'Rental (BOM)'!$G$106:$G$126)*$F$5</f>
      </c>
      <c r="G33" s="180">
        <f>SUMIF('Rental (BOM)'!$B$106:$B$126,Pricing!B33,'Rental (BOM)'!$I$106:$I$126)*$G$5</f>
      </c>
      <c r="H33" s="180">
        <f>SUMIF('Rental (BOM)'!$B$106:$B$126,Pricing!B33,'Rental (BOM)'!$K$106:$K$126)*$H$5</f>
      </c>
      <c r="I33" s="181">
        <f>SUMIF('Rental (BOM)'!$B$106:$B$126,Pricing!B33,'Rental (BOM)'!$M$106:$M$126)*$I$5</f>
      </c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</row>
    <row r="34" spans="1:42" s="153" customFormat="1" ht="15.75" hidden="1" customHeight="1" outlineLevel="1" x14ac:dyDescent="0.2">
      <c r="A34" s="147"/>
      <c r="B34" s="177" t="s">
        <v>79</v>
      </c>
      <c r="C34" s="178"/>
      <c r="D34" s="179">
        <f>SUM(E34,F34,G34,H34,I34)</f>
      </c>
      <c r="E34" s="180">
        <f>SUMIF('Rental (BOM)'!$B$106:$B$126,Pricing!B34,'Rental (BOM)'!$E$106:$E$126)*$E$5</f>
      </c>
      <c r="F34" s="180">
        <f>SUMIF('Rental (BOM)'!$B$106:$B$126,Pricing!B34,'Rental (BOM)'!$G$106:$G$126)*$F$5</f>
      </c>
      <c r="G34" s="180">
        <f>SUMIF('Rental (BOM)'!$B$106:$B$126,Pricing!B34,'Rental (BOM)'!$I$106:$I$126)*$G$5</f>
      </c>
      <c r="H34" s="180">
        <f>SUMIF('Rental (BOM)'!$B$106:$B$126,Pricing!B34,'Rental (BOM)'!$K$106:$K$126)*$H$5</f>
      </c>
      <c r="I34" s="181">
        <f>SUMIF('Rental (BOM)'!$B$106:$B$126,Pricing!B34,'Rental (BOM)'!$M$106:$M$126)*$I$5</f>
      </c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</row>
    <row r="35" spans="1:42" s="153" customFormat="1" ht="15.75" hidden="1" customHeight="1" outlineLevel="1" x14ac:dyDescent="0.2">
      <c r="A35" s="147"/>
      <c r="B35" s="177" t="s">
        <v>80</v>
      </c>
      <c r="C35" s="178"/>
      <c r="D35" s="179">
        <f>SUM(E35,F35,G35,H35,I35)</f>
      </c>
      <c r="E35" s="180">
        <f>SUMIF('Rental (BOM)'!$B$106:$B$126,Pricing!B35,'Rental (BOM)'!$E$106:$E$126)*$E$5</f>
      </c>
      <c r="F35" s="180">
        <f>SUMIF('Rental (BOM)'!$B$106:$B$126,Pricing!B35,'Rental (BOM)'!$G$106:$G$126)*$F$5</f>
      </c>
      <c r="G35" s="180">
        <f>SUMIF('Rental (BOM)'!$B$106:$B$126,Pricing!B35,'Rental (BOM)'!$I$106:$I$126)*$G$5</f>
      </c>
      <c r="H35" s="180">
        <f>SUMIF('Rental (BOM)'!$B$106:$B$126,Pricing!B35,'Rental (BOM)'!$K$106:$K$126)*$H$5</f>
      </c>
      <c r="I35" s="181">
        <f>SUMIF('Rental (BOM)'!$B$106:$B$126,Pricing!B35,'Rental (BOM)'!$M$106:$M$126)*$I$5</f>
      </c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</row>
    <row r="36" spans="1:42" s="153" customFormat="1" ht="15.75" hidden="1" customHeight="1" outlineLevel="1" x14ac:dyDescent="0.2">
      <c r="A36" s="147"/>
      <c r="B36" s="177" t="s">
        <v>68</v>
      </c>
      <c r="C36" s="178"/>
      <c r="D36" s="179">
        <f>SUM(E36,F36,G36,H36,I36)</f>
      </c>
      <c r="E36" s="180">
        <f>SUMIF('Rental (BOM)'!$B$106:$B$126,Pricing!B36,'Rental (BOM)'!$E$106:$E$126)*$E$5</f>
      </c>
      <c r="F36" s="180">
        <f>SUMIF('Rental (BOM)'!$B$106:$B$126,Pricing!B36,'Rental (BOM)'!$G$106:$G$126)*$F$5</f>
      </c>
      <c r="G36" s="180">
        <f>SUMIF('Rental (BOM)'!$B$106:$B$126,Pricing!B36,'Rental (BOM)'!$I$106:$I$126)*$G$5</f>
      </c>
      <c r="H36" s="180">
        <f>SUMIF('Rental (BOM)'!$B$106:$B$126,Pricing!B36,'Rental (BOM)'!$K$106:$K$126)*$H$5</f>
      </c>
      <c r="I36" s="181">
        <f>SUMIF('Rental (BOM)'!$B$106:$B$126,Pricing!B36,'Rental (BOM)'!$M$106:$M$126)*$I$5</f>
      </c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</row>
    <row r="37" spans="1:42" s="153" customFormat="1" ht="15.75" hidden="1" customHeight="1" outlineLevel="1" x14ac:dyDescent="0.2">
      <c r="A37" s="147"/>
      <c r="B37" s="177" t="s">
        <v>30</v>
      </c>
      <c r="C37" s="178"/>
      <c r="D37" s="179"/>
      <c r="E37" s="180"/>
      <c r="F37" s="180"/>
      <c r="G37" s="180"/>
      <c r="H37" s="180"/>
      <c r="I37" s="181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</row>
    <row r="38" spans="1:42" s="153" customFormat="1" ht="15.75" hidden="1" customHeight="1" outlineLevel="1" x14ac:dyDescent="0.2">
      <c r="A38" s="147"/>
      <c r="B38" s="170" t="s">
        <v>81</v>
      </c>
      <c r="C38" s="171"/>
      <c r="D38" s="183">
        <f>SUM(D39:D44)</f>
      </c>
      <c r="E38" s="184">
        <f>SUM(E39:E44)</f>
      </c>
      <c r="F38" s="184">
        <f>SUM(F39:F44)</f>
      </c>
      <c r="G38" s="184">
        <f>SUM(G39:G44)</f>
      </c>
      <c r="H38" s="184">
        <f>SUM(H39:H44)</f>
      </c>
      <c r="I38" s="185">
        <f>SUM(I39:I44)</f>
      </c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</row>
    <row r="39" spans="1:42" s="153" customFormat="1" ht="15.75" hidden="1" customHeight="1" outlineLevel="1" x14ac:dyDescent="0.2">
      <c r="A39" s="147"/>
      <c r="B39" s="177" t="s">
        <v>82</v>
      </c>
      <c r="C39" s="178"/>
      <c r="D39" s="179">
        <f>SUM(E39,F39,G39,H39,I39)</f>
      </c>
      <c r="E39" s="180">
        <f>SUMIF('Rental (BOM)'!$B$128:$B$150,Pricing!B39,'Rental (BOM)'!$E$128:$E$150)*$E$5</f>
      </c>
      <c r="F39" s="180">
        <f>SUMIF('Rental (BOM)'!$B$128:$B$150,Pricing!B39,'Rental (BOM)'!$G$128:$G$150)*$F$5</f>
      </c>
      <c r="G39" s="180">
        <f>SUMIF('Rental (BOM)'!$B$128:$B$150,Pricing!B39,'Rental (BOM)'!$I$128:$I$150)*$G$5</f>
      </c>
      <c r="H39" s="180">
        <f>SUMIF('Rental (BOM)'!$B$128:$B$150,Pricing!B39,'Rental (BOM)'!$K$128:$K$150)*$H$5</f>
      </c>
      <c r="I39" s="181">
        <f>SUMIF('Rental (BOM)'!$B$128:$B$150,Pricing!B39,'Rental (BOM)'!$M$128:$M$150)*$I$5</f>
      </c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</row>
    <row r="40" spans="1:42" s="153" customFormat="1" ht="15.75" hidden="1" customHeight="1" outlineLevel="1" x14ac:dyDescent="0.2">
      <c r="A40" s="147"/>
      <c r="B40" s="177" t="s">
        <v>83</v>
      </c>
      <c r="C40" s="178"/>
      <c r="D40" s="179">
        <f>SUM(E40,F40,G40,H40,I40)</f>
      </c>
      <c r="E40" s="180">
        <f>SUMIF('Rental (BOM)'!$B$128:$B$150,Pricing!B40,'Rental (BOM)'!$E$128:$E$150)*$E$5</f>
      </c>
      <c r="F40" s="180">
        <f>SUMIF('Rental (BOM)'!$B$128:$B$150,Pricing!B40,'Rental (BOM)'!$G$128:$G$150)*$F$5</f>
      </c>
      <c r="G40" s="180">
        <f>SUMIF('Rental (BOM)'!$B$128:$B$150,Pricing!B40,'Rental (BOM)'!$I$128:$I$150)*$G$5</f>
      </c>
      <c r="H40" s="180">
        <f>SUMIF('Rental (BOM)'!$B$128:$B$150,Pricing!B40,'Rental (BOM)'!$K$128:$K$150)*$H$5</f>
      </c>
      <c r="I40" s="181">
        <f>SUMIF('Rental (BOM)'!$B$128:$B$150,Pricing!B40,'Rental (BOM)'!$M$128:$M$150)*$I$5</f>
      </c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</row>
    <row r="41" spans="1:42" s="153" customFormat="1" ht="15.75" hidden="1" customHeight="1" outlineLevel="1" x14ac:dyDescent="0.2">
      <c r="A41" s="147"/>
      <c r="B41" s="177" t="s">
        <v>35</v>
      </c>
      <c r="C41" s="178"/>
      <c r="D41" s="179">
        <f>SUM(E41,F41,G41,H41,I41)</f>
      </c>
      <c r="E41" s="180">
        <f>SUMIF('Rental (BOM)'!$B$128:$B$150,Pricing!B41,'Rental (BOM)'!$E$128:$E$150)*$E$5</f>
      </c>
      <c r="F41" s="180">
        <f>SUMIF('Rental (BOM)'!$B$128:$B$150,Pricing!B41,'Rental (BOM)'!$G$128:$G$150)*$F$5</f>
      </c>
      <c r="G41" s="180">
        <f>SUMIF('Rental (BOM)'!$B$128:$B$150,Pricing!B41,'Rental (BOM)'!$I$128:$I$150)*$G$5</f>
      </c>
      <c r="H41" s="180">
        <f>SUMIF('Rental (BOM)'!$B$128:$B$150,Pricing!B41,'Rental (BOM)'!$K$128:$K$150)*$H$5</f>
      </c>
      <c r="I41" s="181">
        <f>SUMIF('Rental (BOM)'!$B$128:$B$150,Pricing!B41,'Rental (BOM)'!$M$128:$M$150)*$I$5</f>
      </c>
      <c r="J41" s="147"/>
      <c r="K41" s="182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</row>
    <row r="42" spans="1:42" s="153" customFormat="1" ht="15.75" hidden="1" customHeight="1" outlineLevel="1" x14ac:dyDescent="0.2">
      <c r="A42" s="147"/>
      <c r="B42" s="177" t="s">
        <v>84</v>
      </c>
      <c r="C42" s="178"/>
      <c r="D42" s="179">
        <f>SUM(E42,F42,G42,H42,I42)</f>
      </c>
      <c r="E42" s="180">
        <f>SUMIF('Rental (BOM)'!$B$128:$B$150,Pricing!B42,'Rental (BOM)'!$E$128:$E$150)*$E$5</f>
      </c>
      <c r="F42" s="180">
        <f>SUMIF('Rental (BOM)'!$B$128:$B$150,Pricing!B42,'Rental (BOM)'!$G$128:$G$150)*$F$5</f>
      </c>
      <c r="G42" s="180">
        <f>SUMIF('Rental (BOM)'!$B$128:$B$150,Pricing!B42,'Rental (BOM)'!$I$128:$I$150)*$G$5</f>
      </c>
      <c r="H42" s="180">
        <f>SUMIF('Rental (BOM)'!$B$128:$B$150,Pricing!B42,'Rental (BOM)'!$K$128:$K$150)*$H$5</f>
      </c>
      <c r="I42" s="181">
        <f>SUMIF('Rental (BOM)'!$B$128:$B$150,Pricing!B42,'Rental (BOM)'!$M$128:$M$150)*$I$5</f>
      </c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</row>
    <row r="43" spans="1:42" s="153" customFormat="1" ht="15.75" hidden="1" customHeight="1" outlineLevel="1" x14ac:dyDescent="0.2">
      <c r="A43" s="147"/>
      <c r="B43" s="177" t="s">
        <v>85</v>
      </c>
      <c r="C43" s="178"/>
      <c r="D43" s="179">
        <f>SUM(E43,F43,G43,H43,I43)</f>
      </c>
      <c r="E43" s="180">
        <f>SUMIF('Rental (BOM)'!$B$128:$B$150,Pricing!B43,'Rental (BOM)'!$E$128:$E$150)*$E$5</f>
      </c>
      <c r="F43" s="180">
        <f>SUMIF('Rental (BOM)'!$B$128:$B$150,Pricing!B43,'Rental (BOM)'!$G$128:$G$150)*$F$5</f>
      </c>
      <c r="G43" s="180">
        <f>SUMIF('Rental (BOM)'!$B$128:$B$150,Pricing!B43,'Rental (BOM)'!$I$128:$I$150)*$G$5</f>
      </c>
      <c r="H43" s="180">
        <f>SUMIF('Rental (BOM)'!$B$128:$B$150,Pricing!B43,'Rental (BOM)'!$K$128:$K$150)*$H$5</f>
      </c>
      <c r="I43" s="181">
        <f>SUMIF('Rental (BOM)'!$B$128:$B$150,Pricing!B43,'Rental (BOM)'!$M$128:$M$150)*$I$5</f>
      </c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</row>
    <row r="44" spans="1:42" s="153" customFormat="1" ht="15.75" hidden="1" customHeight="1" outlineLevel="1" x14ac:dyDescent="0.2">
      <c r="A44" s="147"/>
      <c r="B44" s="186" t="s">
        <v>68</v>
      </c>
      <c r="C44" s="178"/>
      <c r="D44" s="187">
        <f>SUM(E44,F44,G44,H44,I44)</f>
      </c>
      <c r="E44" s="188">
        <f>SUMIF('Rental (BOM)'!$B$128:$B$150,Pricing!B44,'Rental (BOM)'!$E$128:$E$150)*$E$5</f>
      </c>
      <c r="F44" s="188">
        <f>SUMIF('Rental (BOM)'!$B$128:$B$150,Pricing!B44,'Rental (BOM)'!$G$128:$G$150)*$F$5</f>
      </c>
      <c r="G44" s="188">
        <f>SUMIF('Rental (BOM)'!$B$128:$B$150,Pricing!B44,'Rental (BOM)'!$I$128:$I$150)*$G$5</f>
      </c>
      <c r="H44" s="188">
        <f>SUMIF('Rental (BOM)'!$B$128:$B$150,Pricing!B44,'Rental (BOM)'!$K$128:$K$150)*$H$5</f>
      </c>
      <c r="I44" s="189">
        <f>SUMIF('Rental (BOM)'!$B$128:$B$150,Pricing!B44,'Rental (BOM)'!$M$128:$M$150)*$I$5</f>
      </c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</row>
    <row r="45" spans="1:42" s="153" customFormat="1" ht="12" hidden="1" customHeight="1" outlineLevel="1" x14ac:dyDescent="0.2">
      <c r="A45" s="147"/>
      <c r="B45" s="190" t="s">
        <v>30</v>
      </c>
      <c r="C45" s="178"/>
      <c r="D45" s="191"/>
      <c r="E45" s="191"/>
      <c r="F45" s="191"/>
      <c r="G45" s="191"/>
      <c r="H45" s="191"/>
      <c r="I45" s="191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</row>
    <row r="46" spans="1:42" s="147" customFormat="1" ht="16.5" customHeight="1" collapsed="1" x14ac:dyDescent="0.2">
      <c r="L46" s="141" t="s">
        <v>29</v>
      </c>
    </row>
    <row r="47" spans="1:42" s="147" customFormat="1" ht="16.5" customHeight="1" x14ac:dyDescent="0.2">
      <c r="B47" s="192" t="s">
        <v>86</v>
      </c>
      <c r="D47" s="193" t="s">
        <v>87</v>
      </c>
      <c r="E47" s="194">
        <v>1</v>
      </c>
      <c r="F47" s="194">
        <v>2</v>
      </c>
      <c r="G47" s="194">
        <v>3</v>
      </c>
      <c r="H47" s="194">
        <v>4</v>
      </c>
      <c r="I47" s="195">
        <v>5</v>
      </c>
      <c r="J47" s="196"/>
      <c r="K47" s="12" t="inlineStr">
        <is>
          <t xml:space="preserve"/>
        </is>
      </c>
      <c r="L47" s="12"/>
      <c r="M47" s="12"/>
      <c r="N47" s="12"/>
      <c r="O47" s="12"/>
      <c r="P47" s="12"/>
      <c r="Q47" s="12"/>
      <c r="R47" s="12"/>
      <c r="S47" s="12"/>
    </row>
    <row r="48" spans="1:42" s="147" customFormat="1" ht="15.75" customHeight="1" x14ac:dyDescent="0.2">
      <c r="B48" s="197" t="s">
        <v>88</v>
      </c>
      <c r="D48" s="198">
        <v>0</v>
      </c>
      <c r="E48" s="199">
        <v>0</v>
      </c>
      <c r="F48" s="199">
        <v>0</v>
      </c>
      <c r="G48" s="200">
        <v>0</v>
      </c>
      <c r="H48" s="199">
        <v>0</v>
      </c>
      <c r="I48" s="201">
        <v>0</v>
      </c>
      <c r="J48" s="196"/>
      <c r="K48" s="12"/>
      <c r="L48" s="12"/>
      <c r="M48" s="12"/>
      <c r="N48" s="12"/>
      <c r="O48" s="12"/>
      <c r="P48" s="12"/>
      <c r="Q48" s="12"/>
      <c r="R48" s="12"/>
      <c r="S48" s="12"/>
    </row>
    <row r="49" spans="2:19" s="147" customFormat="1" ht="15.75" customHeight="1" x14ac:dyDescent="0.2">
      <c r="B49" s="202" t="s">
        <v>89</v>
      </c>
      <c r="C49" s="203"/>
      <c r="D49" s="204">
        <f>SUM(E49:I49)</f>
      </c>
      <c r="E49" s="205">
        <f>SUM(E11,E24)*E48</f>
      </c>
      <c r="F49" s="205">
        <f>SUM(F11,F24)*F48</f>
      </c>
      <c r="G49" s="206">
        <f>SUM(G11,G24)*G48</f>
      </c>
      <c r="H49" s="205">
        <f>SUM(H11,H24)*H48</f>
      </c>
      <c r="I49" s="207">
        <f>SUM(I11,I24)*I48</f>
      </c>
      <c r="J49" s="196"/>
      <c r="K49" s="12"/>
      <c r="L49" s="12"/>
      <c r="M49" s="12"/>
      <c r="N49" s="12"/>
      <c r="O49" s="12"/>
      <c r="P49" s="12"/>
      <c r="Q49" s="12"/>
      <c r="R49" s="12"/>
      <c r="S49" s="12"/>
    </row>
    <row r="50" spans="2:19" s="147" customFormat="1" ht="16.5" customHeight="1" x14ac:dyDescent="0.2">
      <c r="K50" s="12"/>
      <c r="L50" s="12"/>
      <c r="M50" s="12"/>
      <c r="N50" s="12"/>
      <c r="O50" s="12"/>
      <c r="P50" s="12"/>
      <c r="Q50" s="12"/>
      <c r="R50" s="12"/>
      <c r="S50" s="12"/>
    </row>
    <row r="51" spans="2:19" s="147" customFormat="1" ht="15.75" customHeight="1" x14ac:dyDescent="0.2">
      <c r="B51" s="208" t="s">
        <v>90</v>
      </c>
      <c r="D51" s="143" t="s">
        <v>87</v>
      </c>
      <c r="E51" s="144">
        <v>1</v>
      </c>
      <c r="F51" s="144">
        <v>2</v>
      </c>
      <c r="G51" s="144">
        <v>3</v>
      </c>
      <c r="H51" s="144">
        <v>4</v>
      </c>
      <c r="I51" s="145">
        <v>5</v>
      </c>
    </row>
    <row r="52" spans="2:19" s="147" customFormat="1" ht="15.75" customHeight="1" x14ac:dyDescent="0.2">
      <c r="B52" s="197" t="s">
        <v>91</v>
      </c>
      <c r="D52" s="209">
        <f>SUM(E52,F52,G52,H52,I52)</f>
      </c>
      <c r="E52" s="210">
        <f>SUM(E11,E24,E49)</f>
      </c>
      <c r="F52" s="210">
        <f>SUM(F11,F24,F49)</f>
      </c>
      <c r="G52" s="210">
        <f>SUM(G11,G24,G49)</f>
      </c>
      <c r="H52" s="210">
        <f>SUM(H11,H24,H49)</f>
      </c>
      <c r="I52" s="181">
        <f>SUM(I11,I24,I49)</f>
      </c>
      <c r="K52" s="182" t="s">
        <v>20</v>
      </c>
    </row>
    <row r="53" spans="2:19" s="147" customFormat="1" ht="15.75" customHeight="1" x14ac:dyDescent="0.2">
      <c r="B53" s="197" t="s">
        <v>92</v>
      </c>
      <c r="D53" s="179">
        <f>SUM(E53,F53,G53,H53,I53)</f>
      </c>
      <c r="E53" s="180">
        <f>SUM(E38)</f>
      </c>
      <c r="F53" s="180">
        <f>SUM(F38)</f>
      </c>
      <c r="G53" s="180">
        <f>SUM(G38)</f>
      </c>
      <c r="H53" s="180">
        <f>SUM(H38)</f>
      </c>
      <c r="I53" s="181">
        <f>SUM(I38)</f>
      </c>
    </row>
    <row r="54" spans="2:19" s="147" customFormat="1" ht="15.75" customHeight="1" x14ac:dyDescent="0.2">
      <c r="B54" s="197" t="s">
        <v>93</v>
      </c>
      <c r="D54" s="179">
        <f>E54+F54+G54+H54+I54</f>
      </c>
      <c r="E54" s="180">
        <f>((E6*E5)*E4)+E7</f>
      </c>
      <c r="F54" s="180">
        <f>((F6*F5)*F4)+F7</f>
      </c>
      <c r="G54" s="180">
        <f>((G6*G5)*G4)+G7</f>
      </c>
      <c r="H54" s="180">
        <f>((H6*H5)*H4)+H7</f>
      </c>
      <c r="I54" s="181">
        <f>((I6*I5)*I4)+I7</f>
      </c>
    </row>
    <row r="55" spans="2:19" s="147" customFormat="1" ht="15.75" customHeight="1" x14ac:dyDescent="0.2">
      <c r="B55" s="197" t="s">
        <v>94</v>
      </c>
      <c r="D55" s="179">
        <f>SUM(E55,F55,G55,H55,I55)</f>
      </c>
      <c r="E55" s="180">
        <f>E6*E5</f>
      </c>
      <c r="F55" s="180">
        <f>F6*F5</f>
      </c>
      <c r="G55" s="180">
        <f>G6*G5</f>
      </c>
      <c r="H55" s="180">
        <f>H6*H5</f>
      </c>
      <c r="I55" s="181">
        <f>I6*I5</f>
      </c>
    </row>
    <row r="56" spans="2:19" s="147" customFormat="1" ht="16.5" customHeight="1" x14ac:dyDescent="0.2">
      <c r="B56" s="197" t="s">
        <v>95</v>
      </c>
      <c r="D56" s="179">
        <f>SUM(E56,F56,G56,H56,I56)</f>
      </c>
      <c r="E56" s="180">
        <f>SUM(E55-E53)</f>
      </c>
      <c r="F56" s="180">
        <f>SUM(F55-F53)</f>
      </c>
      <c r="G56" s="180">
        <f>SUM(G55-G53)</f>
      </c>
      <c r="H56" s="180">
        <f>SUM(H55-H53)</f>
      </c>
      <c r="I56" s="181">
        <f>SUM(I55-I53)</f>
      </c>
      <c r="K56" s="182" t="s">
        <v>20</v>
      </c>
      <c r="L56" s="141" t="s">
        <v>29</v>
      </c>
    </row>
    <row r="57" spans="2:19" s="147" customFormat="1" ht="15.75" customHeight="1" x14ac:dyDescent="0.2">
      <c r="B57" s="197" t="s">
        <v>96</v>
      </c>
      <c r="D57" s="211">
        <f>IFERROR(((D55-D53))/D55,0)</f>
      </c>
      <c r="E57" s="212">
        <f>IFERROR(((E55-E53))/E55,0)</f>
      </c>
      <c r="F57" s="212">
        <f>IFERROR(((F55-F53))/F55,0)</f>
      </c>
      <c r="G57" s="212">
        <f>IFERROR(((G55-G53))/G55,0)</f>
      </c>
      <c r="H57" s="212">
        <f>IFERROR(((H55-H53))/H55,0)</f>
      </c>
      <c r="I57" s="213">
        <f>IFERROR(((I55-I53))/I55,0)</f>
      </c>
      <c r="K57" s="11" t="inlineStr">
        <is>
          <t xml:space="preserve"/>
        </is>
      </c>
      <c r="L57" s="11"/>
      <c r="M57" s="11"/>
      <c r="N57" s="11"/>
      <c r="O57" s="11"/>
      <c r="P57" s="11"/>
      <c r="Q57" s="11"/>
      <c r="R57" s="11"/>
      <c r="S57" s="11"/>
    </row>
    <row r="58" spans="2:19" s="147" customFormat="1" ht="15.75" customHeight="1" x14ac:dyDescent="0.2">
      <c r="B58" s="197" t="s">
        <v>97</v>
      </c>
      <c r="D58" s="214">
        <f>SUM(E58:I58)</f>
      </c>
      <c r="E58" s="215">
        <f>'NPV - IRR'!J7</f>
      </c>
      <c r="F58" s="215">
        <f>'NPV - IRR'!J22</f>
      </c>
      <c r="G58" s="180">
        <f>'NPV - IRR'!G48</f>
      </c>
      <c r="H58" s="180">
        <f>'NPV - IRR'!G63</f>
      </c>
      <c r="I58" s="181">
        <f>'NPV - IRR'!G78</f>
      </c>
      <c r="K58" s="11"/>
      <c r="L58" s="11"/>
      <c r="M58" s="11"/>
      <c r="N58" s="11"/>
      <c r="O58" s="11"/>
      <c r="P58" s="11"/>
      <c r="Q58" s="11"/>
      <c r="R58" s="11"/>
      <c r="S58" s="11"/>
    </row>
    <row r="59" spans="2:19" s="147" customFormat="1" ht="15.75" customHeight="1" x14ac:dyDescent="0.2">
      <c r="B59" s="197" t="s">
        <v>98</v>
      </c>
      <c r="D59" s="211" t="inlineStr">
        <is>
          <t xml:space="preserve">n/m</t>
        </is>
      </c>
      <c r="E59" s="216">
        <f>IFERROR(('NPV - IRR'!J6),0)</f>
      </c>
      <c r="F59" s="216">
        <f>IFERROR(('NPV - IRR'!J21),0)</f>
      </c>
      <c r="G59" s="216">
        <f>IFERROR(('NPV - IRR'!J36),0)</f>
      </c>
      <c r="H59" s="216">
        <f>IFERROR(('NPV - IRR'!J51),0)</f>
      </c>
      <c r="I59" s="216">
        <f>IFERROR(('NPV - IRR'!J66),0)</f>
      </c>
      <c r="K59" s="11"/>
      <c r="L59" s="11"/>
      <c r="M59" s="11"/>
      <c r="N59" s="11"/>
      <c r="O59" s="11"/>
      <c r="P59" s="11"/>
      <c r="Q59" s="11"/>
      <c r="R59" s="11"/>
      <c r="S59" s="11"/>
    </row>
    <row r="60" spans="2:19" s="147" customFormat="1" ht="15.75" customHeight="1" x14ac:dyDescent="0.2">
      <c r="B60" s="197" t="s">
        <v>100</v>
      </c>
      <c r="D60" s="217">
        <f>IFERROR('Cashflow &amp; Payback'!C23,0)</f>
      </c>
      <c r="E60" s="218">
        <f>'Cashflow &amp; Payback'!C48</f>
      </c>
      <c r="F60" s="218">
        <f>'Cashflow &amp; Payback'!C74</f>
      </c>
      <c r="G60" s="218">
        <f>'Cashflow &amp; Payback'!C100</f>
      </c>
      <c r="H60" s="218">
        <f>'Cashflow &amp; Payback'!C126</f>
      </c>
      <c r="I60" s="219">
        <f>'Cashflow &amp; Payback'!C152</f>
      </c>
      <c r="K60" s="11"/>
      <c r="L60" s="11"/>
      <c r="M60" s="11"/>
      <c r="N60" s="11"/>
      <c r="O60" s="11"/>
      <c r="P60" s="11"/>
      <c r="Q60" s="11"/>
      <c r="R60" s="11"/>
      <c r="S60" s="11"/>
    </row>
    <row r="61" spans="2:19" s="147" customFormat="1" ht="16.5" customHeight="1" x14ac:dyDescent="0.2">
      <c r="B61" s="202" t="s">
        <v>101</v>
      </c>
      <c r="D61" s="187">
        <f>E61+F61+G61+H61+I61</f>
      </c>
      <c r="E61" s="188">
        <f>E54-E53*E4-E52+E100</f>
      </c>
      <c r="F61" s="188">
        <f>F54-F53*F4-F52+F100</f>
      </c>
      <c r="G61" s="188">
        <f>G54-G53*G4-G52+G100</f>
      </c>
      <c r="H61" s="188">
        <f>H54-H53*H4-H52+H100</f>
      </c>
      <c r="I61" s="189">
        <f>I54-I53*I4-I52+I100</f>
      </c>
      <c r="K61" s="11"/>
      <c r="L61" s="11"/>
      <c r="M61" s="11"/>
      <c r="N61" s="11"/>
      <c r="O61" s="11"/>
      <c r="P61" s="11"/>
      <c r="Q61" s="11"/>
      <c r="R61" s="11"/>
      <c r="S61" s="11"/>
    </row>
    <row r="62" spans="2:19" s="147" customFormat="1" ht="15.75" customHeight="1" x14ac:dyDescent="0.2"/>
    <row r="63" spans="2:19" s="147" customFormat="1" ht="18.75" customHeight="1" x14ac:dyDescent="0.25">
      <c r="B63" s="220" t="s">
        <v>41</v>
      </c>
      <c r="C63" s="141"/>
      <c r="D63" s="221"/>
      <c r="E63" s="222">
        <v>1</v>
      </c>
      <c r="F63" s="222">
        <v>2</v>
      </c>
      <c r="G63" s="222">
        <v>3</v>
      </c>
      <c r="H63" s="222">
        <v>4</v>
      </c>
      <c r="I63" s="223">
        <v>5</v>
      </c>
    </row>
    <row r="64" spans="2:19" s="147" customFormat="1" ht="58.5" customHeight="1" x14ac:dyDescent="0.2">
      <c r="B64" s="148" t="s">
        <v>49</v>
      </c>
      <c r="C64" s="149"/>
      <c r="D64" s="150" t="s">
        <v>50</v>
      </c>
      <c r="E64" s="224" t="inlineStr">
        <is>
          <t xml:space="preserve"/>
        </is>
      </c>
      <c r="F64" s="224" t="inlineStr">
        <is>
          <t xml:space="preserve"/>
        </is>
      </c>
      <c r="G64" s="225" t="inlineStr">
        <is>
          <t xml:space="preserve"/>
        </is>
      </c>
      <c r="H64" s="225" t="inlineStr">
        <is>
          <t xml:space="preserve"/>
        </is>
      </c>
      <c r="I64" s="226" t="inlineStr">
        <is>
          <t xml:space="preserve"/>
        </is>
      </c>
    </row>
    <row r="65" spans="2:9" s="147" customFormat="1" ht="15.75" customHeight="1" x14ac:dyDescent="0.2">
      <c r="B65" s="148" t="s">
        <v>102</v>
      </c>
      <c r="C65" s="149"/>
      <c r="D65" s="150" t="s">
        <v>50</v>
      </c>
      <c r="E65" s="154">
        <v>0</v>
      </c>
      <c r="F65" s="154">
        <v>0</v>
      </c>
      <c r="G65" s="154">
        <v>0</v>
      </c>
      <c r="H65" s="154">
        <v>0</v>
      </c>
      <c r="I65" s="155">
        <v>0</v>
      </c>
    </row>
    <row r="66" spans="2:9" s="147" customFormat="1" ht="15.75" customHeight="1" x14ac:dyDescent="0.2">
      <c r="B66" s="148" t="s">
        <v>103</v>
      </c>
      <c r="C66" s="149"/>
      <c r="D66" s="150" t="s">
        <v>50</v>
      </c>
      <c r="E66" s="227">
        <f>SUM('Sale (BOM)'!H10:H28,'Sale (BOM)'!H30:H41,'Sale (BOM)'!H43:H52)</f>
      </c>
      <c r="F66" s="227">
        <f>SUM('Sale (BOM)'!K10:K28,'Sale (BOM)'!K30:K41,'Sale (BOM)'!K43:K52)</f>
      </c>
      <c r="G66" s="227">
        <f>SUM('Sale (BOM)'!N10:N28,'Sale (BOM)'!N30:N41,'Sale (BOM)'!N43:N52)</f>
      </c>
      <c r="H66" s="227">
        <f>SUM('Sale (BOM)'!Q10:Q28,'Sale (BOM)'!Q30:Q41,'Sale (BOM)'!Q43:Q52)</f>
      </c>
      <c r="I66" s="228">
        <f>SUM('Sale (BOM)'!T10:T28,'Sale (BOM)'!T30:T41,'Sale (BOM)'!T43:T52)</f>
      </c>
    </row>
    <row r="67" spans="2:9" s="147" customFormat="1" ht="15.75" customHeight="1" x14ac:dyDescent="0.2">
      <c r="B67" s="229"/>
      <c r="C67" s="149"/>
      <c r="D67" s="159"/>
      <c r="E67" s="230"/>
      <c r="F67" s="230"/>
      <c r="G67" s="230"/>
      <c r="H67" s="230"/>
      <c r="I67" s="231"/>
    </row>
    <row r="68" spans="2:9" s="147" customFormat="1" ht="18.75" customHeight="1" outlineLevel="1" x14ac:dyDescent="0.25">
      <c r="B68" s="220"/>
      <c r="C68" s="149"/>
      <c r="D68" s="232" t="s">
        <v>56</v>
      </c>
      <c r="E68" s="233">
        <v>1</v>
      </c>
      <c r="F68" s="234">
        <v>2</v>
      </c>
      <c r="G68" s="234">
        <v>3</v>
      </c>
      <c r="H68" s="235">
        <v>4</v>
      </c>
      <c r="I68" s="236">
        <v>5</v>
      </c>
    </row>
    <row r="69" spans="2:9" s="147" customFormat="1" ht="15.75" customHeight="1" outlineLevel="1" x14ac:dyDescent="0.2">
      <c r="B69" s="237" t="s">
        <v>104</v>
      </c>
      <c r="C69" s="171"/>
      <c r="D69" s="238">
        <f>SUM(D70:D77)</f>
      </c>
      <c r="E69" s="239">
        <f>SUM(E70:E77)</f>
      </c>
      <c r="F69" s="240">
        <f>SUM(F70:F77)</f>
      </c>
      <c r="G69" s="240">
        <f>SUM(G70:G77)</f>
      </c>
      <c r="H69" s="241">
        <f>SUM(H70:H77)</f>
      </c>
      <c r="I69" s="242">
        <f>SUM(I70:I77)</f>
      </c>
    </row>
    <row r="70" spans="2:9" s="147" customFormat="1" ht="15.75" customHeight="1" outlineLevel="1" x14ac:dyDescent="0.2">
      <c r="B70" s="177" t="s">
        <v>58</v>
      </c>
      <c r="C70" s="178"/>
      <c r="D70" s="179">
        <f>SUM(E70,F70,G70,H70,I70)</f>
      </c>
      <c r="E70" s="180">
        <f>SUMIF('Sale (BOM)'!$B$10:$B$41,Pricing!B70,'Sale (BOM)'!$G$10:$G$41)*$E$65</f>
      </c>
      <c r="F70" s="180">
        <f>SUMIF('Sale (BOM)'!$B$10:$B$41,Pricing!B70,'Sale (BOM)'!$J$10:$J$41)*$F$65</f>
      </c>
      <c r="G70" s="180">
        <f>SUMIF('Sale (BOM)'!$B$10:$B$41,Pricing!B70,'Sale (BOM)'!$M$10:$M$41)*$G$65</f>
      </c>
      <c r="H70" s="180">
        <f>SUMIF('Sale (BOM)'!$B$10:$B$41,Pricing!B70,'Sale (BOM)'!$P$10:$P$41)*$H$65</f>
      </c>
      <c r="I70" s="181">
        <f>SUMIF('Sale (BOM)'!$B$10:$B$41,Pricing!B70,'Sale (BOM)'!$S$10:$S$41)*$I$65</f>
      </c>
    </row>
    <row r="71" spans="2:9" s="147" customFormat="1" ht="15.75" customHeight="1" outlineLevel="1" x14ac:dyDescent="0.2">
      <c r="B71" s="177" t="s">
        <v>105</v>
      </c>
      <c r="C71" s="178"/>
      <c r="D71" s="179">
        <f>SUM(E71,F71,G71,H71,I71)</f>
      </c>
      <c r="E71" s="180">
        <f>SUMIF('Sale (BOM)'!$B$10:$B$41,Pricing!B71,'Sale (BOM)'!$G$10:$G$41)*$E$65</f>
      </c>
      <c r="F71" s="180">
        <f>SUMIF('Sale (BOM)'!$B$10:$B$41,Pricing!B71,'Sale (BOM)'!$J$10:$J$41)*$F$65</f>
      </c>
      <c r="G71" s="180">
        <f>SUMIF('Sale (BOM)'!$B$10:$B$41,Pricing!B71,'Sale (BOM)'!$M$10:$M$41)*$G$65</f>
      </c>
      <c r="H71" s="180">
        <f>SUMIF('Sale (BOM)'!$B$10:$B$41,Pricing!B71,'Sale (BOM)'!$P$10:$P$41)*$H$65</f>
      </c>
      <c r="I71" s="181">
        <f>SUMIF('Sale (BOM)'!$B$10:$B$41,Pricing!B71,'Sale (BOM)'!$S$10:$S$41)*$I$65</f>
      </c>
    </row>
    <row r="72" spans="2:9" s="147" customFormat="1" ht="15.75" customHeight="1" outlineLevel="1" x14ac:dyDescent="0.2">
      <c r="B72" s="177" t="s">
        <v>60</v>
      </c>
      <c r="C72" s="178"/>
      <c r="D72" s="179">
        <f>SUM(E72,F72,G72,H72,I72)</f>
      </c>
      <c r="E72" s="180">
        <f>SUMIF('Sale (BOM)'!$B$10:$B$41,Pricing!B72,'Sale (BOM)'!$G$10:$G$41)*$E$65</f>
      </c>
      <c r="F72" s="180">
        <f>SUMIF('Sale (BOM)'!$B$10:$B$41,Pricing!B72,'Sale (BOM)'!$J$10:$J$41)*$F$65</f>
      </c>
      <c r="G72" s="180">
        <f>SUMIF('Sale (BOM)'!$B$10:$B$41,Pricing!B72,'Sale (BOM)'!$M$10:$M$41)*$G$65</f>
      </c>
      <c r="H72" s="180">
        <f>SUMIF('Sale (BOM)'!$B$10:$B$41,Pricing!B72,'Sale (BOM)'!$P$10:$P$41)*$H$65</f>
      </c>
      <c r="I72" s="181">
        <f>SUMIF('Sale (BOM)'!$B$10:$B$41,Pricing!B72,'Sale (BOM)'!$S$10:$S$41)*$I$65</f>
      </c>
    </row>
    <row r="73" spans="2:9" s="147" customFormat="1" ht="15.75" customHeight="1" outlineLevel="1" x14ac:dyDescent="0.2">
      <c r="B73" s="177" t="s">
        <v>46</v>
      </c>
      <c r="C73" s="178"/>
      <c r="D73" s="179">
        <f>SUM(E73,F73,G73,H73,I73)</f>
      </c>
      <c r="E73" s="180">
        <f>SUMIF('Sale (BOM)'!$B$10:$B$41,Pricing!B73,'Sale (BOM)'!$G$10:$G$41)*$E$65</f>
      </c>
      <c r="F73" s="180">
        <f>SUMIF('Sale (BOM)'!$B$10:$B$41,Pricing!B73,'Sale (BOM)'!$J$10:$J$41)*$F$65</f>
      </c>
      <c r="G73" s="180">
        <f>SUMIF('Sale (BOM)'!$B$10:$B$41,Pricing!B73,'Sale (BOM)'!$M$10:$M$41)*$G$65</f>
      </c>
      <c r="H73" s="180">
        <f>SUMIF('Sale (BOM)'!$B$10:$B$41,Pricing!B73,'Sale (BOM)'!$P$10:$P$41)*$H$65</f>
      </c>
      <c r="I73" s="181">
        <f>SUMIF('Sale (BOM)'!$B$10:$B$41,Pricing!B73,'Sale (BOM)'!$S$10:$S$41)*$I$65</f>
      </c>
    </row>
    <row r="74" spans="2:9" s="147" customFormat="1" ht="15.75" customHeight="1" outlineLevel="1" x14ac:dyDescent="0.2">
      <c r="B74" s="177" t="s">
        <v>65</v>
      </c>
      <c r="C74" s="178"/>
      <c r="D74" s="179">
        <f>SUM(E74,F74,G74,H74,I74)</f>
      </c>
      <c r="E74" s="180">
        <f>SUMIF('Sale (BOM)'!$B$10:$B$41,Pricing!B74,'Sale (BOM)'!$G$10:$G$41)*$E$65</f>
      </c>
      <c r="F74" s="180">
        <f>SUMIF('Sale (BOM)'!$B$10:$B$41,Pricing!B74,'Sale (BOM)'!$J$10:$J$41)*$F$65</f>
      </c>
      <c r="G74" s="180">
        <f>SUMIF('Sale (BOM)'!$B$10:$B$41,Pricing!B74,'Sale (BOM)'!$M$10:$M$41)*$G$65</f>
      </c>
      <c r="H74" s="180">
        <f>SUMIF('Sale (BOM)'!$B$10:$B$41,Pricing!B74,'Sale (BOM)'!$P$10:$P$41)*$H$65</f>
      </c>
      <c r="I74" s="181">
        <f>SUMIF('Sale (BOM)'!$B$10:$B$41,Pricing!B74,'Sale (BOM)'!$S$10:$S$41)*$I$65</f>
      </c>
    </row>
    <row r="75" spans="2:9" s="147" customFormat="1" ht="15.75" customHeight="1" outlineLevel="1" x14ac:dyDescent="0.2">
      <c r="B75" s="177" t="s">
        <v>106</v>
      </c>
      <c r="C75" s="178"/>
      <c r="D75" s="179">
        <f>SUM(E75,F75,G75,H75,I75)</f>
      </c>
      <c r="E75" s="180">
        <f>SUMIF('Sale (BOM)'!$B$10:$B$41,Pricing!B75,'Sale (BOM)'!$G$10:$G$41)*$E$65</f>
      </c>
      <c r="F75" s="180">
        <f>SUMIF('Sale (BOM)'!$B$10:$B$41,Pricing!B75,'Sale (BOM)'!$J$10:$J$41)*$F$65</f>
      </c>
      <c r="G75" s="180">
        <f>SUMIF('Sale (BOM)'!$B$10:$B$41,Pricing!B75,'Sale (BOM)'!$M$10:$M$41)*$G$65</f>
      </c>
      <c r="H75" s="180">
        <f>SUMIF('Sale (BOM)'!$B$10:$B$41,Pricing!B75,'Sale (BOM)'!$P$10:$P$41)*$H$65</f>
      </c>
      <c r="I75" s="181">
        <f>SUMIF('Sale (BOM)'!$B$10:$B$41,Pricing!B75,'Sale (BOM)'!$S$10:$S$41)*$I$65</f>
      </c>
    </row>
    <row r="76" spans="2:9" s="147" customFormat="1" ht="15.75" customHeight="1" outlineLevel="1" x14ac:dyDescent="0.2">
      <c r="B76" s="177" t="s">
        <v>67</v>
      </c>
      <c r="C76" s="178"/>
      <c r="D76" s="179">
        <f>SUM(E76,F76,G76,H76,I76)</f>
      </c>
      <c r="E76" s="180">
        <f>SUMIF('Sale (BOM)'!$B$10:$B$41,Pricing!B76,'Sale (BOM)'!$G$10:$G$41)*$E$65</f>
      </c>
      <c r="F76" s="180">
        <f>SUMIF('Sale (BOM)'!$B$10:$B$41,Pricing!B76,'Sale (BOM)'!$J$10:$J$41)*$F$65</f>
      </c>
      <c r="G76" s="180">
        <f>SUMIF('Sale (BOM)'!$B$10:$B$41,Pricing!B76,'Sale (BOM)'!$M$10:$M$41)*$G$65</f>
      </c>
      <c r="H76" s="180">
        <f>SUMIF('Sale (BOM)'!$B$10:$B$41,Pricing!B76,'Sale (BOM)'!$P$10:$P$41)*$H$65</f>
      </c>
      <c r="I76" s="181">
        <f>SUMIF('Sale (BOM)'!$B$10:$B$41,Pricing!B76,'Sale (BOM)'!$S$10:$S$41)*$I$65</f>
      </c>
    </row>
    <row r="77" spans="2:9" s="147" customFormat="1" ht="15.75" customHeight="1" outlineLevel="1" x14ac:dyDescent="0.2">
      <c r="B77" s="177" t="s">
        <v>68</v>
      </c>
      <c r="C77" s="178"/>
      <c r="D77" s="179">
        <f>SUM(E77,F77,G77,H77,I77)</f>
      </c>
      <c r="E77" s="180">
        <f>SUMIF('Sale (BOM)'!$B$10:$B$41,Pricing!B77,'Sale (BOM)'!$G$10:$G$41)*$E$65</f>
      </c>
      <c r="F77" s="180">
        <f>SUMIF('Sale (BOM)'!$B$10:$B$41,Pricing!B77,'Sale (BOM)'!$J$10:$J$41)*$F$65</f>
      </c>
      <c r="G77" s="180">
        <f>SUMIF('Sale (BOM)'!$B$10:$B$41,Pricing!B77,'Sale (BOM)'!$M$10:$M$41)*$G$65</f>
      </c>
      <c r="H77" s="180">
        <f>SUMIF('Sale (BOM)'!$B$10:$B$41,Pricing!B77,'Sale (BOM)'!$P$10:$P$41)*$H$65</f>
      </c>
      <c r="I77" s="181">
        <f>SUMIF('Sale (BOM)'!$B$10:$B$41,Pricing!B77,'Sale (BOM)'!$S$10:$S$41)*$I$65</f>
      </c>
    </row>
    <row r="78" spans="2:9" s="147" customFormat="1" ht="15.75" customHeight="1" outlineLevel="1" x14ac:dyDescent="0.2">
      <c r="B78" s="243" t="s">
        <v>107</v>
      </c>
      <c r="C78" s="171"/>
      <c r="D78" s="244">
        <f>SUM(D79:D90)</f>
      </c>
      <c r="E78" s="245">
        <f>SUM(E79:E90)</f>
      </c>
      <c r="F78" s="245">
        <f>SUM(F79:F90)</f>
      </c>
      <c r="G78" s="245">
        <f>SUM(G79:G90)</f>
      </c>
      <c r="H78" s="245">
        <f>SUM(H79:H90)</f>
      </c>
      <c r="I78" s="246">
        <f>SUM(I79:I90)</f>
      </c>
    </row>
    <row r="79" spans="2:9" s="147" customFormat="1" ht="15.75" customHeight="1" outlineLevel="1" x14ac:dyDescent="0.2">
      <c r="B79" s="177" t="s">
        <v>108</v>
      </c>
      <c r="C79" s="178"/>
      <c r="D79" s="179">
        <f>SUM(E79,F79,G79,H79,I79)</f>
      </c>
      <c r="E79" s="180">
        <f>SUMIF('Sale (BOM)'!$B$43:$B$52,Pricing!B79,'Sale (BOM)'!$G$43:$G$52)*$E$65</f>
      </c>
      <c r="F79" s="180">
        <f>SUMIF('Sale (BOM)'!$B$43:$B$52,Pricing!B79,'Sale (BOM)'!$J$43:$J$52)*$F$65</f>
      </c>
      <c r="G79" s="180">
        <f>SUMIF('Sale (BOM)'!$B$43:$B$52,Pricing!B79,'Sale (BOM)'!$M$43:$M$52)*$G$65</f>
      </c>
      <c r="H79" s="180">
        <f>SUMIF('Sale (BOM)'!$B$43:$B$52,Pricing!B79,'Sale (BOM)'!$P$43:$P$52)*$H$65</f>
      </c>
      <c r="I79" s="181">
        <f>SUMIF('Sale (BOM)'!$B$43:$B$52,Pricing!B79,'Sale (BOM)'!$S$43:$S$52)*$I$65</f>
      </c>
    </row>
    <row r="80" spans="2:9" s="147" customFormat="1" ht="15.75" customHeight="1" outlineLevel="1" x14ac:dyDescent="0.2">
      <c r="B80" s="177" t="s">
        <v>109</v>
      </c>
      <c r="C80" s="178"/>
      <c r="D80" s="179">
        <f>SUM(E80,F80,G80,H80,I80)</f>
      </c>
      <c r="E80" s="180">
        <f>SUMIF('Sale (BOM)'!$B$43:$B$52,Pricing!B80,'Sale (BOM)'!$G$43:$G$52)*$E$65</f>
      </c>
      <c r="F80" s="180">
        <f>SUMIF('Sale (BOM)'!$B$43:$B$52,Pricing!B80,'Sale (BOM)'!$J$43:$J$52)*$F$65</f>
      </c>
      <c r="G80" s="180">
        <f>SUMIF('Sale (BOM)'!$B$43:$B$52,Pricing!B80,'Sale (BOM)'!$M$43:$M$52)*$G$65</f>
      </c>
      <c r="H80" s="180">
        <f>SUMIF('Sale (BOM)'!$B$43:$B$52,Pricing!B80,'Sale (BOM)'!$P$43:$P$52)*$H$65</f>
      </c>
      <c r="I80" s="181">
        <f>SUMIF('Sale (BOM)'!$B$43:$B$52,Pricing!B80,'Sale (BOM)'!$S$43:$S$52)*$I$65</f>
      </c>
    </row>
    <row r="81" spans="2:12" s="147" customFormat="1" ht="15.75" customHeight="1" outlineLevel="1" x14ac:dyDescent="0.2">
      <c r="B81" s="177" t="s">
        <v>110</v>
      </c>
      <c r="C81" s="178"/>
      <c r="D81" s="179">
        <f>SUM(E81,F81,G81,H81,I81)</f>
      </c>
      <c r="E81" s="180">
        <f>SUMIF('Sale (BOM)'!$B$43:$B$52,Pricing!B81,'Sale (BOM)'!$G$43:$G$52)*$E$65</f>
      </c>
      <c r="F81" s="180">
        <f>SUMIF('Sale (BOM)'!$B$43:$B$52,Pricing!B81,'Sale (BOM)'!$J$43:$J$52)*$F$65</f>
      </c>
      <c r="G81" s="180">
        <f>SUMIF('Sale (BOM)'!$B$43:$B$52,Pricing!B81,'Sale (BOM)'!$M$43:$M$52)*$G$65</f>
      </c>
      <c r="H81" s="180">
        <f>SUMIF('Sale (BOM)'!$B$43:$B$52,Pricing!B81,'Sale (BOM)'!$P$43:$P$52)*$H$65</f>
      </c>
      <c r="I81" s="181">
        <f>SUMIF('Sale (BOM)'!$B$43:$B$52,Pricing!B81,'Sale (BOM)'!$S$43:$S$52)*$I$65</f>
      </c>
    </row>
    <row r="82" spans="2:12" s="147" customFormat="1" ht="15.75" customHeight="1" outlineLevel="1" x14ac:dyDescent="0.2">
      <c r="B82" s="177" t="s">
        <v>111</v>
      </c>
      <c r="C82" s="178"/>
      <c r="D82" s="179">
        <f>SUM(E82,F82,G82,H82,I82)</f>
      </c>
      <c r="E82" s="180">
        <f>SUMIF('Sale (BOM)'!$B$43:$B$52,Pricing!B82,'Sale (BOM)'!$G$43:$G$52)*$E$65</f>
      </c>
      <c r="F82" s="180">
        <f>SUMIF('Sale (BOM)'!$B$43:$B$52,Pricing!B82,'Sale (BOM)'!$J$43:$J$52)*$F$65</f>
      </c>
      <c r="G82" s="180">
        <f>SUMIF('Sale (BOM)'!$B$43:$B$52,Pricing!B82,'Sale (BOM)'!$M$43:$M$52)*$G$65</f>
      </c>
      <c r="H82" s="180">
        <f>SUMIF('Sale (BOM)'!$B$43:$B$52,Pricing!B82,'Sale (BOM)'!$P$43:$P$52)*$H$65</f>
      </c>
      <c r="I82" s="181">
        <f>SUMIF('Sale (BOM)'!$B$43:$B$52,Pricing!B82,'Sale (BOM)'!$S$43:$S$52)*$I$65</f>
      </c>
    </row>
    <row r="83" spans="2:12" s="147" customFormat="1" ht="15.75" customHeight="1" outlineLevel="1" x14ac:dyDescent="0.2">
      <c r="B83" s="177" t="s">
        <v>112</v>
      </c>
      <c r="C83" s="178"/>
      <c r="D83" s="179">
        <f>SUM(E83,F83,G83,H83,I83)</f>
      </c>
      <c r="E83" s="180">
        <f>SUMIF('Sale (BOM)'!$B$43:$B$52,Pricing!B83,'Sale (BOM)'!$G$43:$G$52)*$E$65</f>
      </c>
      <c r="F83" s="180">
        <f>SUMIF('Sale (BOM)'!$B$43:$B$52,Pricing!B83,'Sale (BOM)'!$J$43:$J$52)*$F$65</f>
      </c>
      <c r="G83" s="180">
        <f>SUMIF('Sale (BOM)'!$B$43:$B$52,Pricing!B83,'Sale (BOM)'!$M$43:$M$52)*$G$65</f>
      </c>
      <c r="H83" s="180">
        <f>SUMIF('Sale (BOM)'!$B$43:$B$52,Pricing!B83,'Sale (BOM)'!$P$43:$P$52)*$H$65</f>
      </c>
      <c r="I83" s="181">
        <f>SUMIF('Sale (BOM)'!$B$43:$B$52,Pricing!B83,'Sale (BOM)'!$S$43:$S$52)*$I$65</f>
      </c>
    </row>
    <row r="84" spans="2:12" s="147" customFormat="1" ht="15.75" customHeight="1" outlineLevel="1" x14ac:dyDescent="0.2">
      <c r="B84" s="177" t="s">
        <v>47</v>
      </c>
      <c r="C84" s="178"/>
      <c r="D84" s="179">
        <f>SUM(E84,F84,G84,H84,I84)</f>
      </c>
      <c r="E84" s="180">
        <f>SUMIF('Sale (BOM)'!$B$43:$B$52,Pricing!B84,'Sale (BOM)'!$G$43:$G$52)*$E$65</f>
      </c>
      <c r="F84" s="180">
        <f>SUMIF('Sale (BOM)'!$B$43:$B$52,Pricing!B84,'Sale (BOM)'!$J$43:$J$52)*$F$65</f>
      </c>
      <c r="G84" s="180">
        <f>SUMIF('Sale (BOM)'!$B$43:$B$52,Pricing!B84,'Sale (BOM)'!$M$43:$M$52)*$G$65</f>
      </c>
      <c r="H84" s="180">
        <f>SUMIF('Sale (BOM)'!$B$43:$B$52,Pricing!B84,'Sale (BOM)'!$P$43:$P$52)*$H$65</f>
      </c>
      <c r="I84" s="181">
        <f>SUMIF('Sale (BOM)'!$B$43:$B$52,Pricing!B84,'Sale (BOM)'!$S$43:$S$52)*$I$65</f>
      </c>
    </row>
    <row r="85" spans="2:12" s="147" customFormat="1" ht="15.75" customHeight="1" outlineLevel="1" x14ac:dyDescent="0.2">
      <c r="B85" s="177" t="s">
        <v>113</v>
      </c>
      <c r="C85" s="178"/>
      <c r="D85" s="179">
        <f>SUM(E85,F85,G85,H85,I85)</f>
      </c>
      <c r="E85" s="180">
        <f>SUMIF('Sale (BOM)'!$B$43:$B$52,Pricing!B85,'Sale (BOM)'!$G$43:$G$52)*$E$65</f>
      </c>
      <c r="F85" s="180">
        <f>SUMIF('Sale (BOM)'!$B$43:$B$52,Pricing!B85,'Sale (BOM)'!$J$43:$J$52)*$F$65</f>
      </c>
      <c r="G85" s="180">
        <f>SUMIF('Sale (BOM)'!$B$43:$B$52,Pricing!B85,'Sale (BOM)'!$M$43:$M$52)*$G$65</f>
      </c>
      <c r="H85" s="180">
        <f>SUMIF('Sale (BOM)'!$B$43:$B$52,Pricing!B85,'Sale (BOM)'!$P$43:$P$52)*$H$65</f>
      </c>
      <c r="I85" s="181">
        <f>SUMIF('Sale (BOM)'!$B$43:$B$52,Pricing!B85,'Sale (BOM)'!$S$43:$S$52)*$I$65</f>
      </c>
    </row>
    <row r="86" spans="2:12" s="147" customFormat="1" ht="15.75" customHeight="1" outlineLevel="1" x14ac:dyDescent="0.2">
      <c r="B86" s="177" t="s">
        <v>114</v>
      </c>
      <c r="C86" s="178"/>
      <c r="D86" s="179">
        <f>SUM(E86,F86,G86,H86,I86)</f>
      </c>
      <c r="E86" s="180">
        <f>SUMIF('Sale (BOM)'!$B$43:$B$52,Pricing!B86,'Sale (BOM)'!$G$43:$G$52)*$E$65</f>
      </c>
      <c r="F86" s="180">
        <f>SUMIF('Sale (BOM)'!$B$43:$B$52,Pricing!B86,'Sale (BOM)'!$J$43:$J$52)*$F$65</f>
      </c>
      <c r="G86" s="180">
        <f>SUMIF('Sale (BOM)'!$B$43:$B$52,Pricing!B86,'Sale (BOM)'!$M$43:$M$52)*$G$65</f>
      </c>
      <c r="H86" s="180">
        <f>SUMIF('Sale (BOM)'!$B$43:$B$52,Pricing!B86,'Sale (BOM)'!$P$43:$P$52)*$H$65</f>
      </c>
      <c r="I86" s="181">
        <f>SUMIF('Sale (BOM)'!$B$43:$B$52,Pricing!B86,'Sale (BOM)'!$S$43:$S$52)*$I$65</f>
      </c>
    </row>
    <row r="87" spans="2:12" s="147" customFormat="1" ht="15.75" customHeight="1" outlineLevel="1" x14ac:dyDescent="0.2">
      <c r="B87" s="177" t="s">
        <v>115</v>
      </c>
      <c r="C87" s="178"/>
      <c r="D87" s="179">
        <f>SUM(E87,F87,G87,H87,I87)</f>
      </c>
      <c r="E87" s="180">
        <f>SUMIF('Sale (BOM)'!$B$43:$B$52,Pricing!B87,'Sale (BOM)'!$G$43:$G$52)*$E$65</f>
      </c>
      <c r="F87" s="180">
        <f>SUMIF('Sale (BOM)'!$B$43:$B$52,Pricing!B87,'Sale (BOM)'!$J$43:$J$52)*$F$65</f>
      </c>
      <c r="G87" s="180">
        <f>SUMIF('Sale (BOM)'!$B$43:$B$52,Pricing!B87,'Sale (BOM)'!$M$43:$M$52)*$G$65</f>
      </c>
      <c r="H87" s="180">
        <f>SUMIF('Sale (BOM)'!$B$43:$B$52,Pricing!B87,'Sale (BOM)'!$P$43:$P$52)*$H$65</f>
      </c>
      <c r="I87" s="181">
        <f>SUMIF('Sale (BOM)'!$B$43:$B$52,Pricing!B87,'Sale (BOM)'!$S$43:$S$52)*$I$65</f>
      </c>
    </row>
    <row r="88" spans="2:12" s="147" customFormat="1" ht="15.75" customHeight="1" outlineLevel="1" x14ac:dyDescent="0.2">
      <c r="B88" s="177" t="s">
        <v>116</v>
      </c>
      <c r="C88" s="178"/>
      <c r="D88" s="179">
        <f>SUM(E88,F88,G88,H88,I88)</f>
      </c>
      <c r="E88" s="180">
        <f>SUMIF('Sale (BOM)'!$B$43:$B$52,Pricing!B88,'Sale (BOM)'!$G$43:$G$52)*$E$65</f>
      </c>
      <c r="F88" s="180">
        <f>SUMIF('Sale (BOM)'!$B$43:$B$52,Pricing!B88,'Sale (BOM)'!$J$43:$J$52)*$F$65</f>
      </c>
      <c r="G88" s="180">
        <f>SUMIF('Sale (BOM)'!$B$43:$B$52,Pricing!B88,'Sale (BOM)'!$M$43:$M$52)*$G$65</f>
      </c>
      <c r="H88" s="180">
        <f>SUMIF('Sale (BOM)'!$B$43:$B$52,Pricing!B88,'Sale (BOM)'!$P$43:$P$52)*$H$65</f>
      </c>
      <c r="I88" s="181">
        <f>SUMIF('Sale (BOM)'!$B$43:$B$52,Pricing!B88,'Sale (BOM)'!$S$43:$S$52)*$I$65</f>
      </c>
    </row>
    <row r="89" spans="2:12" s="147" customFormat="1" ht="15.75" customHeight="1" outlineLevel="1" x14ac:dyDescent="0.2">
      <c r="B89" s="177" t="s">
        <v>117</v>
      </c>
      <c r="C89" s="178"/>
      <c r="D89" s="179">
        <f>SUM(E89,F89,G89,H89,I89)</f>
      </c>
      <c r="E89" s="180">
        <f>SUMIF('Sale (BOM)'!$B$43:$B$52,Pricing!B89,'Sale (BOM)'!$G$43:$G$52)*$E$65</f>
      </c>
      <c r="F89" s="180">
        <f>SUMIF('Sale (BOM)'!$B$43:$B$52,Pricing!B89,'Sale (BOM)'!$J$43:$J$52)*$F$65</f>
      </c>
      <c r="G89" s="180">
        <f>SUMIF('Sale (BOM)'!$B$43:$B$52,Pricing!B89,'Sale (BOM)'!$M$43:$M$52)*$G$65</f>
      </c>
      <c r="H89" s="180">
        <f>SUMIF('Sale (BOM)'!$B$43:$B$52,Pricing!B89,'Sale (BOM)'!$P$43:$P$52)*$H$65</f>
      </c>
      <c r="I89" s="181">
        <f>SUMIF('Sale (BOM)'!$B$43:$B$52,Pricing!B89,'Sale (BOM)'!$S$43:$S$52)*$I$65</f>
      </c>
    </row>
    <row r="90" spans="2:12" s="147" customFormat="1" ht="15.75" customHeight="1" outlineLevel="1" x14ac:dyDescent="0.2">
      <c r="B90" s="186" t="s">
        <v>68</v>
      </c>
      <c r="C90" s="178"/>
      <c r="D90" s="187">
        <f>SUM(E90,F90,G90,H90,I90)</f>
      </c>
      <c r="E90" s="188">
        <f>SUMIF('Sale (BOM)'!$B$43:$B$52,Pricing!B90,'Sale (BOM)'!$G$43:$G$52)*$E$65</f>
      </c>
      <c r="F90" s="188">
        <f>SUMIF('Sale (BOM)'!$B$43:$B$52,Pricing!B90,'Sale (BOM)'!$J$43:$J$52)*$F$65</f>
      </c>
      <c r="G90" s="188">
        <f>SUMIF('Sale (BOM)'!$B$43:$B$52,Pricing!B90,'Sale (BOM)'!$M$43:$M$52)*$G$65</f>
      </c>
      <c r="H90" s="188">
        <f>SUMIF('Sale (BOM)'!$B$43:$B$52,Pricing!B90,'Sale (BOM)'!$P$43:$P$52)*$H$65</f>
      </c>
      <c r="I90" s="189">
        <f>SUMIF('Sale (BOM)'!$B$43:$B$52,Pricing!B90,'Sale (BOM)'!$S$43:$S$52)*$I$65</f>
      </c>
    </row>
    <row r="91" spans="2:12" s="147" customFormat="1" ht="15.75" customHeight="1" x14ac:dyDescent="0.2">
      <c r="D91" s="247"/>
      <c r="E91" s="247"/>
      <c r="F91" s="247"/>
      <c r="G91" s="247"/>
      <c r="H91" s="247"/>
      <c r="I91" s="247"/>
    </row>
    <row r="92" spans="2:12" s="147" customFormat="1" ht="15.75" customHeight="1" x14ac:dyDescent="0.2">
      <c r="B92" s="248" t="s">
        <v>118</v>
      </c>
      <c r="D92" s="249" t="s">
        <v>87</v>
      </c>
      <c r="E92" s="250">
        <v>1</v>
      </c>
      <c r="F92" s="250">
        <v>2</v>
      </c>
      <c r="G92" s="250">
        <v>3</v>
      </c>
      <c r="H92" s="250">
        <v>4</v>
      </c>
      <c r="I92" s="251">
        <v>5</v>
      </c>
    </row>
    <row r="93" spans="2:12" s="147" customFormat="1" ht="15.75" customHeight="1" x14ac:dyDescent="0.2">
      <c r="B93" s="197" t="s">
        <v>88</v>
      </c>
      <c r="D93" s="252">
        <f>IFERROR(AVERAGEIF(E93:I93,"&gt;0"),0)</f>
      </c>
      <c r="E93" s="253">
        <v>0</v>
      </c>
      <c r="F93" s="253">
        <v>0</v>
      </c>
      <c r="G93" s="253">
        <v>0</v>
      </c>
      <c r="H93" s="253">
        <v>0</v>
      </c>
      <c r="I93" s="254">
        <v>0</v>
      </c>
    </row>
    <row r="94" spans="2:12" s="147" customFormat="1" ht="15.75" customHeight="1" x14ac:dyDescent="0.2">
      <c r="B94" s="202" t="s">
        <v>89</v>
      </c>
      <c r="D94" s="255">
        <f>SUM(E94:I94)</f>
      </c>
      <c r="E94" s="256">
        <f>SUM(E69,E78)*E93</f>
      </c>
      <c r="F94" s="256">
        <f>SUM(F69,F78)*F93</f>
      </c>
      <c r="G94" s="256">
        <f>SUM(G69,G78)*G93</f>
      </c>
      <c r="H94" s="256">
        <f>SUM(H69,H78)*H93</f>
      </c>
      <c r="I94" s="257">
        <f>SUM(I69,I78)*I93</f>
      </c>
    </row>
    <row r="95" spans="2:12" s="147" customFormat="1" ht="15.75" customHeight="1" x14ac:dyDescent="0.2"/>
    <row r="96" spans="2:12" s="147" customFormat="1" ht="16.5" customHeight="1" x14ac:dyDescent="0.2">
      <c r="B96" s="248" t="s">
        <v>119</v>
      </c>
      <c r="D96" s="221" t="s">
        <v>87</v>
      </c>
      <c r="E96" s="222">
        <v>1</v>
      </c>
      <c r="F96" s="222">
        <v>2</v>
      </c>
      <c r="G96" s="222">
        <v>3</v>
      </c>
      <c r="H96" s="222">
        <v>4</v>
      </c>
      <c r="I96" s="223">
        <v>5</v>
      </c>
      <c r="L96" s="141" t="s">
        <v>29</v>
      </c>
    </row>
    <row r="97" spans="2:19" s="147" customFormat="1" ht="15.75" customHeight="1" x14ac:dyDescent="0.2">
      <c r="B97" s="197" t="s">
        <v>155</v>
      </c>
      <c r="D97" s="209">
        <f>SUM(E97:I97)</f>
      </c>
      <c r="E97" s="210">
        <f>SUM(E69,E94)</f>
      </c>
      <c r="F97" s="210">
        <f>SUM(F69,F94)</f>
      </c>
      <c r="G97" s="210">
        <f>SUM(G69,G94)</f>
      </c>
      <c r="H97" s="210">
        <f>SUM(H69,H94)</f>
      </c>
      <c r="I97" s="258">
        <f>SUM(I69,I94)</f>
      </c>
      <c r="K97" s="11" t="inlineStr">
        <is>
          <t xml:space="preserve"/>
        </is>
      </c>
      <c r="L97" s="11"/>
      <c r="M97" s="11"/>
      <c r="N97" s="11"/>
      <c r="O97" s="11"/>
      <c r="P97" s="11"/>
      <c r="Q97" s="11"/>
      <c r="R97" s="11"/>
      <c r="S97" s="11"/>
    </row>
    <row r="98" spans="2:19" s="147" customFormat="1" ht="15.75" customHeight="1" x14ac:dyDescent="0.2">
      <c r="B98" s="197" t="s">
        <v>69</v>
      </c>
      <c r="D98" s="209">
        <f>SUM(E98:I98)</f>
      </c>
      <c r="E98" s="180">
        <f>SUM(E78)</f>
      </c>
      <c r="F98" s="180">
        <f>SUM(F78)</f>
      </c>
      <c r="G98" s="180">
        <f>SUM(G78)</f>
      </c>
      <c r="H98" s="180">
        <f>SUM(H78)</f>
      </c>
      <c r="I98" s="181">
        <f>SUM(I78)</f>
      </c>
      <c r="K98" s="11"/>
      <c r="L98" s="11"/>
      <c r="M98" s="11"/>
      <c r="N98" s="11"/>
      <c r="O98" s="11"/>
      <c r="P98" s="11"/>
      <c r="Q98" s="11"/>
      <c r="R98" s="11"/>
      <c r="S98" s="11"/>
    </row>
    <row r="99" spans="2:19" s="147" customFormat="1" ht="15.75" customHeight="1" x14ac:dyDescent="0.2">
      <c r="B99" s="197" t="s">
        <v>120</v>
      </c>
      <c r="D99" s="209">
        <f>SUM(E99:I99)</f>
      </c>
      <c r="E99" s="180">
        <f>SUM(E65*E66)</f>
      </c>
      <c r="F99" s="180">
        <f>SUM(F65*F66)</f>
      </c>
      <c r="G99" s="180">
        <f>SUM(G65*G66)</f>
      </c>
      <c r="H99" s="180">
        <f>SUM(H65*H66)</f>
      </c>
      <c r="I99" s="181">
        <f>SUM(I65*I66)</f>
      </c>
      <c r="K99" s="11"/>
      <c r="L99" s="11"/>
      <c r="M99" s="11"/>
      <c r="N99" s="11"/>
      <c r="O99" s="11"/>
      <c r="P99" s="11"/>
      <c r="Q99" s="11"/>
      <c r="R99" s="11"/>
      <c r="S99" s="11"/>
    </row>
    <row r="100" spans="2:19" s="147" customFormat="1" ht="15.75" customHeight="1" x14ac:dyDescent="0.2">
      <c r="B100" s="197" t="s">
        <v>121</v>
      </c>
      <c r="D100" s="209">
        <f>SUM(E100:I100)</f>
      </c>
      <c r="E100" s="180">
        <f>SUM(E99-(E97+E98))</f>
      </c>
      <c r="F100" s="180">
        <f>SUM(F99-(F97+F98))</f>
      </c>
      <c r="G100" s="180">
        <f>SUM(G99-(G97+G98))</f>
      </c>
      <c r="H100" s="180">
        <f>SUM(H99-(H97+H98))</f>
      </c>
      <c r="I100" s="181">
        <f>SUM(I99-(I97+I98))</f>
      </c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2:19" s="147" customFormat="1" ht="16.5" customHeight="1" x14ac:dyDescent="0.2">
      <c r="B101" s="202" t="s">
        <v>122</v>
      </c>
      <c r="D101" s="259">
        <f>IFERROR((D99-(D97+D98))/D99,0)</f>
      </c>
      <c r="E101" s="260">
        <f>IFERROR((E99-(E97+E98))/E99,0)</f>
      </c>
      <c r="F101" s="260">
        <f>IFERROR((F99-(F97+F98))/F99,0)</f>
      </c>
      <c r="G101" s="260">
        <f>IFERROR((G99-(G97+G98))/G99,0)</f>
      </c>
      <c r="H101" s="260">
        <f>IFERROR((H99-(H97+H98))/H99,0)</f>
      </c>
      <c r="I101" s="261">
        <f>IFERROR((I99-(I97+I98))/I99,0)</f>
      </c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2:19" s="15" customFormat="1" ht="15" customHeight="1" x14ac:dyDescent="0.2"/>
    <row r="103" spans="2:19" s="15" customFormat="1" ht="15" customHeight="1" x14ac:dyDescent="0.2"/>
    <row r="104" spans="2:19" s="15" customFormat="1" ht="15" customHeight="1" x14ac:dyDescent="0.2"/>
    <row r="105" spans="2:19" s="15" customFormat="1" ht="15" customHeight="1" x14ac:dyDescent="0.2"/>
    <row r="106" spans="2:19" s="15" customFormat="1" ht="15" customHeight="1" x14ac:dyDescent="0.2"/>
    <row r="107" spans="2:19" s="15" customFormat="1" ht="15" customHeight="1" x14ac:dyDescent="0.2"/>
    <row r="108" spans="2:19" s="15" customFormat="1" ht="15" customHeight="1" x14ac:dyDescent="0.2"/>
    <row r="109" spans="2:19" s="15" customFormat="1" ht="15" customHeight="1" x14ac:dyDescent="0.2"/>
    <row r="110" spans="2:19" s="15" customFormat="1" ht="15" customHeight="1" x14ac:dyDescent="0.2"/>
    <row r="111" spans="2:19" s="15" customFormat="1" ht="15" customHeight="1" x14ac:dyDescent="0.2"/>
    <row r="112" spans="2:19" s="15" customFormat="1" ht="15" customHeight="1" x14ac:dyDescent="0.2"/>
    <row r="113" s="15" customFormat="1" ht="15" customHeight="1" x14ac:dyDescent="0.2"/>
    <row r="114" s="15" customFormat="1" ht="15" customHeight="1" x14ac:dyDescent="0.2"/>
    <row r="115" s="15" customFormat="1" ht="15" customHeight="1" x14ac:dyDescent="0.2"/>
    <row r="116" s="15" customFormat="1" ht="15" customHeight="1" x14ac:dyDescent="0.2"/>
    <row r="117" s="15" customFormat="1" ht="15" customHeight="1" x14ac:dyDescent="0.2"/>
    <row r="118" s="15" customFormat="1" ht="15" customHeight="1" x14ac:dyDescent="0.2"/>
    <row r="119" s="15" customFormat="1" ht="15" customHeight="1" x14ac:dyDescent="0.2"/>
    <row r="120" s="15" customFormat="1" ht="15" customHeight="1" x14ac:dyDescent="0.2"/>
    <row r="121" s="15" customFormat="1" ht="15" customHeight="1" x14ac:dyDescent="0.2"/>
    <row r="122" s="15" customFormat="1" ht="15" customHeight="1" x14ac:dyDescent="0.2"/>
    <row r="123" s="15" customFormat="1" ht="15" customHeight="1" x14ac:dyDescent="0.2"/>
    <row r="124" s="15" customFormat="1" ht="15" customHeight="1" x14ac:dyDescent="0.2"/>
    <row r="125" s="15" customFormat="1" ht="15" customHeight="1" x14ac:dyDescent="0.2"/>
    <row r="126" s="15" customFormat="1" ht="15" customHeight="1" x14ac:dyDescent="0.2"/>
  </sheetData>
  <sheetProtection sheet="1" objects="1" scenarios="1"/>
  <mergeCells count="5">
    <mergeCell ref="B1:L1"/>
    <mergeCell ref="K3:T8"/>
    <mergeCell ref="K47:S50"/>
    <mergeCell ref="K57:S61"/>
    <mergeCell ref="K97:S101"/>
  </mergeCells>
  <conditionalFormatting sqref="D48">
    <cfRule type="containsErrors" dxfId="67" priority="7">
      <formula>ISERROR(D48)</formula>
    </cfRule>
  </conditionalFormatting>
  <conditionalFormatting sqref="D57">
    <cfRule type="containsErrors" dxfId="66" priority="9">
      <formula>ISERROR(D57)</formula>
    </cfRule>
  </conditionalFormatting>
  <conditionalFormatting sqref="D59:D60">
    <cfRule type="containsErrors" dxfId="65" priority="8">
      <formula>ISERROR(D59)</formula>
    </cfRule>
  </conditionalFormatting>
  <conditionalFormatting sqref="D60">
    <cfRule type="cellIs" dxfId="64" priority="15" operator="lessThan">
      <formula>6</formula>
    </cfRule>
    <cfRule type="cellIs" dxfId="63" priority="16" operator="between">
      <formula>6</formula>
      <formula>11</formula>
    </cfRule>
    <cfRule type="cellIs" dxfId="62" priority="17" operator="greaterThan">
      <formula>11</formula>
    </cfRule>
  </conditionalFormatting>
  <conditionalFormatting sqref="D93">
    <cfRule type="containsErrors" dxfId="61" priority="22">
      <formula>ISERROR(D93)</formula>
    </cfRule>
  </conditionalFormatting>
  <conditionalFormatting sqref="D57:I57">
    <cfRule type="cellIs" dxfId="60" priority="10" operator="equal">
      <formula>0</formula>
    </cfRule>
    <cfRule type="cellIs" dxfId="59" priority="11" operator="between">
      <formula>0.65</formula>
      <formula>1</formula>
    </cfRule>
    <cfRule type="cellIs" dxfId="58" priority="12" operator="greaterThanOrEqual">
      <formula>1</formula>
    </cfRule>
    <cfRule type="cellIs" dxfId="57" priority="13" operator="between">
      <formula>0.44</formula>
      <formula>0.65</formula>
    </cfRule>
    <cfRule type="cellIs" dxfId="56" priority="14" operator="between">
      <formula>0</formula>
      <formula>0.45</formula>
    </cfRule>
  </conditionalFormatting>
  <conditionalFormatting sqref="D60:I60">
    <cfRule type="cellIs" dxfId="55" priority="6" operator="equal">
      <formula>0</formula>
    </cfRule>
  </conditionalFormatting>
  <conditionalFormatting sqref="D101:I101">
    <cfRule type="cellIs" dxfId="54" priority="18" operator="between">
      <formula>0.65</formula>
      <formula>1</formula>
    </cfRule>
    <cfRule type="cellIs" dxfId="53" priority="19" operator="lessThan">
      <formula>0.01</formula>
    </cfRule>
    <cfRule type="cellIs" dxfId="52" priority="20" operator="between">
      <formula>0.44</formula>
      <formula>0.65</formula>
    </cfRule>
    <cfRule type="cellIs" dxfId="51" priority="21" operator="between">
      <formula>0</formula>
      <formula>0.45</formula>
    </cfRule>
  </conditionalFormatting>
  <conditionalFormatting sqref="E60:I60">
    <cfRule type="containsErrors" dxfId="50" priority="2">
      <formula>ISERROR(E60)</formula>
    </cfRule>
    <cfRule type="cellIs" dxfId="49" priority="3" operator="lessThan">
      <formula>6</formula>
    </cfRule>
    <cfRule type="cellIs" dxfId="48" priority="4" operator="between">
      <formula>6</formula>
      <formula>11</formula>
    </cfRule>
    <cfRule type="cellIs" dxfId="47" priority="5" operator="greaterThan">
      <formula>11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400-000000000000}">
  <dimension ref="A1:BJ154"/>
  <sheetViews>
    <sheetView showGridLines="0" topLeftCell="D49" zoomScale="113" zoomScaleNormal="113" workbookViewId="0">
      <selection activeCell="D54" sqref="D54"/>
    </sheetView>
  </sheetViews>
  <sheetFormatPr baseColWidth="10" defaultColWidth="8.83203125" defaultRowHeight="15" x14ac:dyDescent="0.2"/>
  <cols>
    <col min="2" max="2" width="46.33203125" customWidth="1"/>
    <col min="3" max="3" width="90.1640625" customWidth="1"/>
    <col min="4" max="4" width="69.5" customWidth="1"/>
    <col min="5" max="5" width="12.5" customWidth="1"/>
    <col min="6" max="6" width="12" customWidth="1"/>
    <col min="7" max="10" width="12.5" customWidth="1"/>
    <col min="11" max="11" width="12.1640625" customWidth="1"/>
    <col min="12" max="14" width="12.5" customWidth="1"/>
    <col min="15" max="16" width="13" customWidth="1"/>
    <col min="17" max="19" width="12.5" customWidth="1"/>
    <col min="20" max="40" width="13" customWidth="1"/>
    <col min="41" max="41" width="12.5" customWidth="1"/>
    <col min="42" max="44" width="13" customWidth="1"/>
    <col min="45" max="45" width="14.5" customWidth="1"/>
    <col min="46" max="46" width="14.83203125" customWidth="1"/>
    <col min="47" max="47" width="14" customWidth="1"/>
    <col min="48" max="48" width="14.83203125" customWidth="1"/>
    <col min="49" max="49" width="13.5" customWidth="1"/>
    <col min="50" max="51" width="14.5" customWidth="1"/>
    <col min="52" max="52" width="14.83203125" customWidth="1"/>
    <col min="53" max="53" width="14" customWidth="1"/>
    <col min="54" max="55" width="14.83203125" customWidth="1"/>
    <col min="56" max="56" width="14.5" customWidth="1"/>
    <col min="57" max="57" width="14.83203125" customWidth="1"/>
    <col min="58" max="58" width="14.5" customWidth="1"/>
    <col min="59" max="59" width="14" customWidth="1"/>
    <col min="60" max="61" width="14.5" customWidth="1"/>
    <col min="62" max="62" width="14.83203125" customWidth="1"/>
  </cols>
  <sheetData>
    <row r="1" spans="1:62" ht="22.5" customHeight="1" x14ac:dyDescent="0.3">
      <c r="A1" t="s">
        <v>123</v>
      </c>
      <c r="C1" s="14">
        <f>Pricing!B1</f>
      </c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62" ht="30.75" customHeight="1" x14ac:dyDescent="0.2">
      <c r="B2" s="262" t="s">
        <v>124</v>
      </c>
      <c r="C2" s="263">
        <v>0</v>
      </c>
      <c r="D2" s="263">
        <f>C2+1</f>
      </c>
      <c r="E2" s="263">
        <f>D2+1</f>
      </c>
      <c r="F2" s="263">
        <f>E2+1</f>
      </c>
      <c r="G2" s="263">
        <f>F2+1</f>
      </c>
      <c r="H2" s="263">
        <f>G2+1</f>
      </c>
      <c r="I2" s="263">
        <f>H2+1</f>
      </c>
      <c r="J2" s="263">
        <f>I2+1</f>
      </c>
      <c r="K2" s="263">
        <f>J2+1</f>
      </c>
      <c r="L2" s="263">
        <f>K2+1</f>
      </c>
      <c r="M2" s="263">
        <f>L2+1</f>
      </c>
      <c r="N2" s="263">
        <f>M2+1</f>
      </c>
      <c r="O2" s="263">
        <f>N2+1</f>
      </c>
      <c r="P2" s="263">
        <f>O2+1</f>
      </c>
      <c r="Q2" s="263">
        <f>P2+1</f>
      </c>
      <c r="R2" s="263">
        <f>Q2+1</f>
      </c>
      <c r="S2" s="263">
        <f>R2+1</f>
      </c>
      <c r="T2" s="263">
        <f>S2+1</f>
      </c>
      <c r="U2" s="263">
        <f>T2+1</f>
      </c>
      <c r="V2" s="263">
        <f>U2+1</f>
      </c>
      <c r="W2" s="263">
        <f>V2+1</f>
      </c>
      <c r="X2" s="263">
        <f>W2+1</f>
      </c>
      <c r="Y2" s="263">
        <f>X2+1</f>
      </c>
      <c r="Z2" s="263">
        <f>Y2+1</f>
      </c>
      <c r="AA2" s="263">
        <f>Z2+1</f>
      </c>
      <c r="AB2" s="263">
        <f>AA2+1</f>
      </c>
      <c r="AC2" s="263">
        <f>AB2+1</f>
      </c>
      <c r="AD2" s="263">
        <f>AC2+1</f>
      </c>
      <c r="AE2" s="263">
        <f>AD2+1</f>
      </c>
      <c r="AF2" s="263">
        <f>AE2+1</f>
      </c>
      <c r="AG2" s="263">
        <f>AF2+1</f>
      </c>
      <c r="AH2" s="263">
        <f>AG2+1</f>
      </c>
      <c r="AI2" s="263">
        <f>AH2+1</f>
      </c>
      <c r="AJ2" s="263">
        <f>AI2+1</f>
      </c>
      <c r="AK2" s="263">
        <f>AJ2+1</f>
      </c>
      <c r="AL2" s="263">
        <f>AK2+1</f>
      </c>
      <c r="AM2" s="263">
        <f>AL2+1</f>
      </c>
      <c r="AN2" s="263">
        <f>AM2+1</f>
      </c>
      <c r="AO2" s="263">
        <f>AN2+1</f>
      </c>
      <c r="AP2" s="263">
        <f>AO2+1</f>
      </c>
      <c r="AQ2" s="263">
        <f>AP2+1</f>
      </c>
      <c r="AR2" s="263">
        <f>AQ2+1</f>
      </c>
      <c r="AS2" s="263">
        <f>AR2+1</f>
      </c>
      <c r="AT2" s="263">
        <f>AS2+1</f>
      </c>
      <c r="AU2" s="263">
        <f>AT2+1</f>
      </c>
      <c r="AV2" s="263">
        <f>AU2+1</f>
      </c>
      <c r="AW2" s="263">
        <f>AV2+1</f>
      </c>
      <c r="AX2" s="263">
        <f>AW2+1</f>
      </c>
      <c r="AY2" s="263">
        <f>AX2+1</f>
      </c>
      <c r="AZ2" s="263">
        <f>AY2+1</f>
      </c>
      <c r="BA2" s="263">
        <f>AZ2+1</f>
      </c>
      <c r="BB2" s="263">
        <f>BA2+1</f>
      </c>
      <c r="BC2" s="263">
        <f>BB2+1</f>
      </c>
      <c r="BD2" s="263">
        <f>BC2+1</f>
      </c>
      <c r="BE2" s="263">
        <f>BD2+1</f>
      </c>
      <c r="BF2" s="263">
        <f>BE2+1</f>
      </c>
      <c r="BG2" s="263">
        <f>BF2+1</f>
      </c>
      <c r="BH2" s="263">
        <f>BG2+1</f>
      </c>
      <c r="BI2" s="263">
        <f>BH2+1</f>
      </c>
      <c r="BJ2" s="263">
        <f>BI2+1</f>
      </c>
    </row>
    <row r="3" spans="1:62" ht="15" customHeight="1" x14ac:dyDescent="0.2">
      <c r="B3" s="264" t="s">
        <v>125</v>
      </c>
      <c r="C3" s="265" t="s">
        <v>20</v>
      </c>
      <c r="D3" s="266">
        <f>SUM(Pricing!D56)</f>
      </c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67"/>
      <c r="BE3" s="267"/>
      <c r="BF3" s="267"/>
      <c r="BG3" s="267"/>
      <c r="BH3" s="267"/>
      <c r="BI3" s="267"/>
      <c r="BJ3" s="267"/>
    </row>
    <row r="4" spans="1:62" ht="15" customHeight="1" x14ac:dyDescent="0.2">
      <c r="B4" s="264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</row>
    <row r="5" spans="1:62" ht="15" customHeight="1" x14ac:dyDescent="0.2">
      <c r="B5" s="264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</row>
    <row r="6" spans="1:62" ht="15" customHeight="1" x14ac:dyDescent="0.2">
      <c r="B6" s="264" t="s">
        <v>126</v>
      </c>
      <c r="C6" s="268">
        <f>SUM('Pricing'!E7:I7)</f>
      </c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7"/>
      <c r="AZ6" s="267"/>
      <c r="BA6" s="267"/>
      <c r="BB6" s="267"/>
      <c r="BC6" s="267"/>
      <c r="BD6" s="267"/>
      <c r="BE6" s="267"/>
      <c r="BF6" s="267"/>
      <c r="BG6" s="267"/>
      <c r="BH6" s="267"/>
      <c r="BI6" s="267"/>
      <c r="BJ6" s="267"/>
    </row>
    <row r="7" spans="1:62" ht="15" customHeight="1" x14ac:dyDescent="0.2">
      <c r="B7" s="264" t="s">
        <v>127</v>
      </c>
      <c r="C7" s="266">
        <f>'Pricing'!D52-SUM('Pricing'!E7:I7)-'Pricing'!D100</f>
      </c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  <c r="BJ7" s="269"/>
    </row>
    <row r="8" spans="1:62" ht="15" customHeight="1" x14ac:dyDescent="0.2">
      <c r="B8" s="264" t="s">
        <v>128</v>
      </c>
      <c r="C8" s="269">
        <f>-C7</f>
      </c>
      <c r="D8" s="270">
        <f>IF(D$2&lt;='Pricing'!E$4,'Pricing'!E$56,0)+IF(D$2&lt;='Pricing'!F$4,'Pricing'!F$56,0)+IF(D$2&lt;='Pricing'!G$4,'Pricing'!G$56,0)+IF(D$2&lt;='Pricing'!H$4,'Pricing'!H$56,0)+IF(D$2&lt;='Pricing'!I$4,'Pricing'!I$56,0)</f>
      </c>
      <c r="E8" s="270">
        <f>IF(E$2&lt;='Pricing'!E$4,'Pricing'!E$56,0)+IF(E$2&lt;='Pricing'!F$4,'Pricing'!F$56,0)+IF(E$2&lt;='Pricing'!G$4,'Pricing'!G$56,0)+IF(E$2&lt;='Pricing'!H$4,'Pricing'!H$56,0)+IF(E$2&lt;='Pricing'!I$4,'Pricing'!I$56,0)</f>
      </c>
      <c r="F8" s="270">
        <f>IF(F$2&lt;='Pricing'!E$4,'Pricing'!E$56,0)+IF(F$2&lt;='Pricing'!F$4,'Pricing'!F$56,0)+IF(F$2&lt;='Pricing'!G$4,'Pricing'!G$56,0)+IF(F$2&lt;='Pricing'!H$4,'Pricing'!H$56,0)+IF(F$2&lt;='Pricing'!I$4,'Pricing'!I$56,0)</f>
      </c>
      <c r="G8" s="270">
        <f>IF(G$2&lt;='Pricing'!E$4,'Pricing'!E$56,0)+IF(G$2&lt;='Pricing'!F$4,'Pricing'!F$56,0)+IF(G$2&lt;='Pricing'!G$4,'Pricing'!G$56,0)+IF(G$2&lt;='Pricing'!H$4,'Pricing'!H$56,0)+IF(G$2&lt;='Pricing'!I$4,'Pricing'!I$56,0)</f>
      </c>
      <c r="H8" s="270">
        <f>IF(H$2&lt;='Pricing'!E$4,'Pricing'!E$56,0)+IF(H$2&lt;='Pricing'!F$4,'Pricing'!F$56,0)+IF(H$2&lt;='Pricing'!G$4,'Pricing'!G$56,0)+IF(H$2&lt;='Pricing'!H$4,'Pricing'!H$56,0)+IF(H$2&lt;='Pricing'!I$4,'Pricing'!I$56,0)</f>
      </c>
      <c r="I8" s="270">
        <f>IF(I$2&lt;='Pricing'!E$4,'Pricing'!E$56,0)+IF(I$2&lt;='Pricing'!F$4,'Pricing'!F$56,0)+IF(I$2&lt;='Pricing'!G$4,'Pricing'!G$56,0)+IF(I$2&lt;='Pricing'!H$4,'Pricing'!H$56,0)+IF(I$2&lt;='Pricing'!I$4,'Pricing'!I$56,0)</f>
      </c>
      <c r="J8" s="270">
        <f>IF(J$2&lt;='Pricing'!E$4,'Pricing'!E$56,0)+IF(J$2&lt;='Pricing'!F$4,'Pricing'!F$56,0)+IF(J$2&lt;='Pricing'!G$4,'Pricing'!G$56,0)+IF(J$2&lt;='Pricing'!H$4,'Pricing'!H$56,0)+IF(J$2&lt;='Pricing'!I$4,'Pricing'!I$56,0)</f>
      </c>
      <c r="K8" s="270">
        <f>IF(K$2&lt;='Pricing'!E$4,'Pricing'!E$56,0)+IF(K$2&lt;='Pricing'!F$4,'Pricing'!F$56,0)+IF(K$2&lt;='Pricing'!G$4,'Pricing'!G$56,0)+IF(K$2&lt;='Pricing'!H$4,'Pricing'!H$56,0)+IF(K$2&lt;='Pricing'!I$4,'Pricing'!I$56,0)</f>
      </c>
      <c r="L8" s="270">
        <f>IF(L$2&lt;='Pricing'!E$4,'Pricing'!E$56,0)+IF(L$2&lt;='Pricing'!F$4,'Pricing'!F$56,0)+IF(L$2&lt;='Pricing'!G$4,'Pricing'!G$56,0)+IF(L$2&lt;='Pricing'!H$4,'Pricing'!H$56,0)+IF(L$2&lt;='Pricing'!I$4,'Pricing'!I$56,0)</f>
      </c>
      <c r="M8" s="270">
        <f>IF(M$2&lt;='Pricing'!E$4,'Pricing'!E$56,0)+IF(M$2&lt;='Pricing'!F$4,'Pricing'!F$56,0)+IF(M$2&lt;='Pricing'!G$4,'Pricing'!G$56,0)+IF(M$2&lt;='Pricing'!H$4,'Pricing'!H$56,0)+IF(M$2&lt;='Pricing'!I$4,'Pricing'!I$56,0)</f>
      </c>
      <c r="N8" s="270">
        <f>IF(N$2&lt;='Pricing'!E$4,'Pricing'!E$56,0)+IF(N$2&lt;='Pricing'!F$4,'Pricing'!F$56,0)+IF(N$2&lt;='Pricing'!G$4,'Pricing'!G$56,0)+IF(N$2&lt;='Pricing'!H$4,'Pricing'!H$56,0)+IF(N$2&lt;='Pricing'!I$4,'Pricing'!I$56,0)</f>
      </c>
      <c r="O8" s="270">
        <f>IF(O$2&lt;='Pricing'!E$4,'Pricing'!E$56,0)+IF(O$2&lt;='Pricing'!F$4,'Pricing'!F$56,0)+IF(O$2&lt;='Pricing'!G$4,'Pricing'!G$56,0)+IF(O$2&lt;='Pricing'!H$4,'Pricing'!H$56,0)+IF(O$2&lt;='Pricing'!I$4,'Pricing'!I$56,0)</f>
      </c>
      <c r="P8" s="270">
        <f>IF(P$2&lt;='Pricing'!E$4,'Pricing'!E$56,0)+IF(P$2&lt;='Pricing'!F$4,'Pricing'!F$56,0)+IF(P$2&lt;='Pricing'!G$4,'Pricing'!G$56,0)+IF(P$2&lt;='Pricing'!H$4,'Pricing'!H$56,0)+IF(P$2&lt;='Pricing'!I$4,'Pricing'!I$56,0)</f>
      </c>
      <c r="Q8" s="270">
        <f>IF(Q$2&lt;='Pricing'!E$4,'Pricing'!E$56,0)+IF(Q$2&lt;='Pricing'!F$4,'Pricing'!F$56,0)+IF(Q$2&lt;='Pricing'!G$4,'Pricing'!G$56,0)+IF(Q$2&lt;='Pricing'!H$4,'Pricing'!H$56,0)+IF(Q$2&lt;='Pricing'!I$4,'Pricing'!I$56,0)</f>
      </c>
      <c r="R8" s="270">
        <f>IF(R$2&lt;='Pricing'!E$4,'Pricing'!E$56,0)+IF(R$2&lt;='Pricing'!F$4,'Pricing'!F$56,0)+IF(R$2&lt;='Pricing'!G$4,'Pricing'!G$56,0)+IF(R$2&lt;='Pricing'!H$4,'Pricing'!H$56,0)+IF(R$2&lt;='Pricing'!I$4,'Pricing'!I$56,0)</f>
      </c>
      <c r="S8" s="270">
        <f>IF(S$2&lt;='Pricing'!E$4,'Pricing'!E$56,0)+IF(S$2&lt;='Pricing'!F$4,'Pricing'!F$56,0)+IF(S$2&lt;='Pricing'!G$4,'Pricing'!G$56,0)+IF(S$2&lt;='Pricing'!H$4,'Pricing'!H$56,0)+IF(S$2&lt;='Pricing'!I$4,'Pricing'!I$56,0)</f>
      </c>
      <c r="T8" s="270">
        <f>IF(T$2&lt;='Pricing'!E$4,'Pricing'!E$56,0)+IF(T$2&lt;='Pricing'!F$4,'Pricing'!F$56,0)+IF(T$2&lt;='Pricing'!G$4,'Pricing'!G$56,0)+IF(T$2&lt;='Pricing'!H$4,'Pricing'!H$56,0)+IF(T$2&lt;='Pricing'!I$4,'Pricing'!I$56,0)</f>
      </c>
      <c r="U8" s="270">
        <f>IF(U$2&lt;='Pricing'!E$4,'Pricing'!E$56,0)+IF(U$2&lt;='Pricing'!F$4,'Pricing'!F$56,0)+IF(U$2&lt;='Pricing'!G$4,'Pricing'!G$56,0)+IF(U$2&lt;='Pricing'!H$4,'Pricing'!H$56,0)+IF(U$2&lt;='Pricing'!I$4,'Pricing'!I$56,0)</f>
      </c>
      <c r="V8" s="270">
        <f>IF(V$2&lt;='Pricing'!E$4,'Pricing'!E$56,0)+IF(V$2&lt;='Pricing'!F$4,'Pricing'!F$56,0)+IF(V$2&lt;='Pricing'!G$4,'Pricing'!G$56,0)+IF(V$2&lt;='Pricing'!H$4,'Pricing'!H$56,0)+IF(V$2&lt;='Pricing'!I$4,'Pricing'!I$56,0)</f>
      </c>
      <c r="W8" s="270">
        <f>IF(W$2&lt;='Pricing'!E$4,'Pricing'!E$56,0)+IF(W$2&lt;='Pricing'!F$4,'Pricing'!F$56,0)+IF(W$2&lt;='Pricing'!G$4,'Pricing'!G$56,0)+IF(W$2&lt;='Pricing'!H$4,'Pricing'!H$56,0)+IF(W$2&lt;='Pricing'!I$4,'Pricing'!I$56,0)</f>
      </c>
      <c r="X8" s="270">
        <f>IF(X$2&lt;='Pricing'!E$4,'Pricing'!E$56,0)+IF(X$2&lt;='Pricing'!F$4,'Pricing'!F$56,0)+IF(X$2&lt;='Pricing'!G$4,'Pricing'!G$56,0)+IF(X$2&lt;='Pricing'!H$4,'Pricing'!H$56,0)+IF(X$2&lt;='Pricing'!I$4,'Pricing'!I$56,0)</f>
      </c>
      <c r="Y8" s="270">
        <f>IF(Y$2&lt;='Pricing'!E$4,'Pricing'!E$56,0)+IF(Y$2&lt;='Pricing'!F$4,'Pricing'!F$56,0)+IF(Y$2&lt;='Pricing'!G$4,'Pricing'!G$56,0)+IF(Y$2&lt;='Pricing'!H$4,'Pricing'!H$56,0)+IF(Y$2&lt;='Pricing'!I$4,'Pricing'!I$56,0)</f>
      </c>
      <c r="Z8" s="270">
        <f>IF(Z$2&lt;='Pricing'!E$4,'Pricing'!E$56,0)+IF(Z$2&lt;='Pricing'!F$4,'Pricing'!F$56,0)+IF(Z$2&lt;='Pricing'!G$4,'Pricing'!G$56,0)+IF(Z$2&lt;='Pricing'!H$4,'Pricing'!H$56,0)+IF(Z$2&lt;='Pricing'!I$4,'Pricing'!I$56,0)</f>
      </c>
      <c r="AA8" s="270">
        <f>IF(AA$2&lt;='Pricing'!E$4,'Pricing'!E$56,0)+IF(AA$2&lt;='Pricing'!F$4,'Pricing'!F$56,0)+IF(AA$2&lt;='Pricing'!G$4,'Pricing'!G$56,0)+IF(AA$2&lt;='Pricing'!H$4,'Pricing'!H$56,0)+IF(AA$2&lt;='Pricing'!I$4,'Pricing'!I$56,0)</f>
      </c>
      <c r="AB8" s="270">
        <f>IF(AB$2&lt;='Pricing'!E$4,'Pricing'!E$56,0)+IF(AB$2&lt;='Pricing'!F$4,'Pricing'!F$56,0)+IF(AB$2&lt;='Pricing'!G$4,'Pricing'!G$56,0)+IF(AB$2&lt;='Pricing'!H$4,'Pricing'!H$56,0)+IF(AB$2&lt;='Pricing'!I$4,'Pricing'!I$56,0)</f>
      </c>
      <c r="AC8" s="270">
        <f>IF(AC$2&lt;='Pricing'!E$4,'Pricing'!E$56,0)+IF(AC$2&lt;='Pricing'!F$4,'Pricing'!F$56,0)+IF(AC$2&lt;='Pricing'!G$4,'Pricing'!G$56,0)+IF(AC$2&lt;='Pricing'!H$4,'Pricing'!H$56,0)+IF(AC$2&lt;='Pricing'!I$4,'Pricing'!I$56,0)</f>
      </c>
      <c r="AD8" s="270">
        <f>IF(AD$2&lt;='Pricing'!E$4,'Pricing'!E$56,0)+IF(AD$2&lt;='Pricing'!F$4,'Pricing'!F$56,0)+IF(AD$2&lt;='Pricing'!G$4,'Pricing'!G$56,0)+IF(AD$2&lt;='Pricing'!H$4,'Pricing'!H$56,0)+IF(AD$2&lt;='Pricing'!I$4,'Pricing'!I$56,0)</f>
      </c>
      <c r="AE8" s="270">
        <f>IF(AE$2&lt;='Pricing'!E$4,'Pricing'!E$56,0)+IF(AE$2&lt;='Pricing'!F$4,'Pricing'!F$56,0)+IF(AE$2&lt;='Pricing'!G$4,'Pricing'!G$56,0)+IF(AE$2&lt;='Pricing'!H$4,'Pricing'!H$56,0)+IF(AE$2&lt;='Pricing'!I$4,'Pricing'!I$56,0)</f>
      </c>
      <c r="AF8" s="270">
        <f>IF(AF$2&lt;='Pricing'!E$4,'Pricing'!E$56,0)+IF(AF$2&lt;='Pricing'!F$4,'Pricing'!F$56,0)+IF(AF$2&lt;='Pricing'!G$4,'Pricing'!G$56,0)+IF(AF$2&lt;='Pricing'!H$4,'Pricing'!H$56,0)+IF(AF$2&lt;='Pricing'!I$4,'Pricing'!I$56,0)</f>
      </c>
      <c r="AG8" s="270">
        <f>IF(AG$2&lt;='Pricing'!E$4,'Pricing'!E$56,0)+IF(AG$2&lt;='Pricing'!F$4,'Pricing'!F$56,0)+IF(AG$2&lt;='Pricing'!G$4,'Pricing'!G$56,0)+IF(AG$2&lt;='Pricing'!H$4,'Pricing'!H$56,0)+IF(AG$2&lt;='Pricing'!I$4,'Pricing'!I$56,0)</f>
      </c>
      <c r="AH8" s="270">
        <f>IF(AH$2&lt;='Pricing'!E$4,'Pricing'!E$56,0)+IF(AH$2&lt;='Pricing'!F$4,'Pricing'!F$56,0)+IF(AH$2&lt;='Pricing'!G$4,'Pricing'!G$56,0)+IF(AH$2&lt;='Pricing'!H$4,'Pricing'!H$56,0)+IF(AH$2&lt;='Pricing'!I$4,'Pricing'!I$56,0)</f>
      </c>
      <c r="AI8" s="270">
        <f>IF(AI$2&lt;='Pricing'!E$4,'Pricing'!E$56,0)+IF(AI$2&lt;='Pricing'!F$4,'Pricing'!F$56,0)+IF(AI$2&lt;='Pricing'!G$4,'Pricing'!G$56,0)+IF(AI$2&lt;='Pricing'!H$4,'Pricing'!H$56,0)+IF(AI$2&lt;='Pricing'!I$4,'Pricing'!I$56,0)</f>
      </c>
      <c r="AJ8" s="270">
        <f>IF(AJ$2&lt;='Pricing'!E$4,'Pricing'!E$56,0)+IF(AJ$2&lt;='Pricing'!F$4,'Pricing'!F$56,0)+IF(AJ$2&lt;='Pricing'!G$4,'Pricing'!G$56,0)+IF(AJ$2&lt;='Pricing'!H$4,'Pricing'!H$56,0)+IF(AJ$2&lt;='Pricing'!I$4,'Pricing'!I$56,0)</f>
      </c>
      <c r="AK8" s="270">
        <f>IF(AK$2&lt;='Pricing'!E$4,'Pricing'!E$56,0)+IF(AK$2&lt;='Pricing'!F$4,'Pricing'!F$56,0)+IF(AK$2&lt;='Pricing'!G$4,'Pricing'!G$56,0)+IF(AK$2&lt;='Pricing'!H$4,'Pricing'!H$56,0)+IF(AK$2&lt;='Pricing'!I$4,'Pricing'!I$56,0)</f>
      </c>
      <c r="AL8" s="270">
        <f>IF(AL$2&lt;='Pricing'!E$4,'Pricing'!E$56,0)+IF(AL$2&lt;='Pricing'!F$4,'Pricing'!F$56,0)+IF(AL$2&lt;='Pricing'!G$4,'Pricing'!G$56,0)+IF(AL$2&lt;='Pricing'!H$4,'Pricing'!H$56,0)+IF(AL$2&lt;='Pricing'!I$4,'Pricing'!I$56,0)</f>
      </c>
      <c r="AM8" s="270">
        <f>IF(AM$2&lt;='Pricing'!E$4,'Pricing'!E$56,0)+IF(AM$2&lt;='Pricing'!F$4,'Pricing'!F$56,0)+IF(AM$2&lt;='Pricing'!G$4,'Pricing'!G$56,0)+IF(AM$2&lt;='Pricing'!H$4,'Pricing'!H$56,0)+IF(AM$2&lt;='Pricing'!I$4,'Pricing'!I$56,0)</f>
      </c>
      <c r="AN8" s="270">
        <f>IF(AN$2&lt;='Pricing'!E$4,'Pricing'!E$56,0)+IF(AN$2&lt;='Pricing'!F$4,'Pricing'!F$56,0)+IF(AN$2&lt;='Pricing'!G$4,'Pricing'!G$56,0)+IF(AN$2&lt;='Pricing'!H$4,'Pricing'!H$56,0)+IF(AN$2&lt;='Pricing'!I$4,'Pricing'!I$56,0)</f>
      </c>
      <c r="AO8" s="270">
        <f>IF(AO$2&lt;='Pricing'!E$4,'Pricing'!E$56,0)+IF(AO$2&lt;='Pricing'!F$4,'Pricing'!F$56,0)+IF(AO$2&lt;='Pricing'!G$4,'Pricing'!G$56,0)+IF(AO$2&lt;='Pricing'!H$4,'Pricing'!H$56,0)+IF(AO$2&lt;='Pricing'!I$4,'Pricing'!I$56,0)</f>
      </c>
      <c r="AP8" s="270">
        <f>IF(AP$2&lt;='Pricing'!E$4,'Pricing'!E$56,0)+IF(AP$2&lt;='Pricing'!F$4,'Pricing'!F$56,0)+IF(AP$2&lt;='Pricing'!G$4,'Pricing'!G$56,0)+IF(AP$2&lt;='Pricing'!H$4,'Pricing'!H$56,0)+IF(AP$2&lt;='Pricing'!I$4,'Pricing'!I$56,0)</f>
      </c>
      <c r="AQ8" s="270">
        <f>IF(AQ$2&lt;='Pricing'!E$4,'Pricing'!E$56,0)+IF(AQ$2&lt;='Pricing'!F$4,'Pricing'!F$56,0)+IF(AQ$2&lt;='Pricing'!G$4,'Pricing'!G$56,0)+IF(AQ$2&lt;='Pricing'!H$4,'Pricing'!H$56,0)+IF(AQ$2&lt;='Pricing'!I$4,'Pricing'!I$56,0)</f>
      </c>
      <c r="AR8" s="270">
        <f>IF(AR$2&lt;='Pricing'!E$4,'Pricing'!E$56,0)+IF(AR$2&lt;='Pricing'!F$4,'Pricing'!F$56,0)+IF(AR$2&lt;='Pricing'!G$4,'Pricing'!G$56,0)+IF(AR$2&lt;='Pricing'!H$4,'Pricing'!H$56,0)+IF(AR$2&lt;='Pricing'!I$4,'Pricing'!I$56,0)</f>
      </c>
      <c r="AS8" s="270">
        <f>IF(AS$2&lt;='Pricing'!E$4,'Pricing'!E$56,0)+IF(AS$2&lt;='Pricing'!F$4,'Pricing'!F$56,0)+IF(AS$2&lt;='Pricing'!G$4,'Pricing'!G$56,0)+IF(AS$2&lt;='Pricing'!H$4,'Pricing'!H$56,0)+IF(AS$2&lt;='Pricing'!I$4,'Pricing'!I$56,0)</f>
      </c>
      <c r="AT8" s="270">
        <f>IF(AT$2&lt;='Pricing'!E$4,'Pricing'!E$56,0)+IF(AT$2&lt;='Pricing'!F$4,'Pricing'!F$56,0)+IF(AT$2&lt;='Pricing'!G$4,'Pricing'!G$56,0)+IF(AT$2&lt;='Pricing'!H$4,'Pricing'!H$56,0)+IF(AT$2&lt;='Pricing'!I$4,'Pricing'!I$56,0)</f>
      </c>
      <c r="AU8" s="270">
        <f>IF(AU$2&lt;='Pricing'!E$4,'Pricing'!E$56,0)+IF(AU$2&lt;='Pricing'!F$4,'Pricing'!F$56,0)+IF(AU$2&lt;='Pricing'!G$4,'Pricing'!G$56,0)+IF(AU$2&lt;='Pricing'!H$4,'Pricing'!H$56,0)+IF(AU$2&lt;='Pricing'!I$4,'Pricing'!I$56,0)</f>
      </c>
      <c r="AV8" s="270">
        <f>IF(AV$2&lt;='Pricing'!E$4,'Pricing'!E$56,0)+IF(AV$2&lt;='Pricing'!F$4,'Pricing'!F$56,0)+IF(AV$2&lt;='Pricing'!G$4,'Pricing'!G$56,0)+IF(AV$2&lt;='Pricing'!H$4,'Pricing'!H$56,0)+IF(AV$2&lt;='Pricing'!I$4,'Pricing'!I$56,0)</f>
      </c>
      <c r="AW8" s="270">
        <f>IF(AW$2&lt;='Pricing'!E$4,'Pricing'!E$56,0)+IF(AW$2&lt;='Pricing'!F$4,'Pricing'!F$56,0)+IF(AW$2&lt;='Pricing'!G$4,'Pricing'!G$56,0)+IF(AW$2&lt;='Pricing'!H$4,'Pricing'!H$56,0)+IF(AW$2&lt;='Pricing'!I$4,'Pricing'!I$56,0)</f>
      </c>
      <c r="AX8" s="270">
        <f>IF(AX$2&lt;='Pricing'!E$4,'Pricing'!E$56,0)+IF(AX$2&lt;='Pricing'!F$4,'Pricing'!F$56,0)+IF(AX$2&lt;='Pricing'!G$4,'Pricing'!G$56,0)+IF(AX$2&lt;='Pricing'!H$4,'Pricing'!H$56,0)+IF(AX$2&lt;='Pricing'!I$4,'Pricing'!I$56,0)</f>
      </c>
      <c r="AY8" s="270">
        <f>IF(AY$2&lt;='Pricing'!E$4,'Pricing'!E$56,0)+IF(AY$2&lt;='Pricing'!F$4,'Pricing'!F$56,0)+IF(AY$2&lt;='Pricing'!G$4,'Pricing'!G$56,0)+IF(AY$2&lt;='Pricing'!H$4,'Pricing'!H$56,0)+IF(AY$2&lt;='Pricing'!I$4,'Pricing'!I$56,0)</f>
      </c>
      <c r="AZ8" s="270">
        <f>IF(AZ$2&lt;='Pricing'!E$4,'Pricing'!E$56,0)+IF(AZ$2&lt;='Pricing'!F$4,'Pricing'!F$56,0)+IF(AZ$2&lt;='Pricing'!G$4,'Pricing'!G$56,0)+IF(AZ$2&lt;='Pricing'!H$4,'Pricing'!H$56,0)+IF(AZ$2&lt;='Pricing'!I$4,'Pricing'!I$56,0)</f>
      </c>
      <c r="BA8" s="270">
        <f>IF(BA$2&lt;='Pricing'!E$4,'Pricing'!E$56,0)+IF(BA$2&lt;='Pricing'!F$4,'Pricing'!F$56,0)+IF(BA$2&lt;='Pricing'!G$4,'Pricing'!G$56,0)+IF(BA$2&lt;='Pricing'!H$4,'Pricing'!H$56,0)+IF(BA$2&lt;='Pricing'!I$4,'Pricing'!I$56,0)</f>
      </c>
      <c r="BB8" s="270">
        <f>IF(BB$2&lt;='Pricing'!E$4,'Pricing'!E$56,0)+IF(BB$2&lt;='Pricing'!F$4,'Pricing'!F$56,0)+IF(BB$2&lt;='Pricing'!G$4,'Pricing'!G$56,0)+IF(BB$2&lt;='Pricing'!H$4,'Pricing'!H$56,0)+IF(BB$2&lt;='Pricing'!I$4,'Pricing'!I$56,0)</f>
      </c>
      <c r="BC8" s="270">
        <f>IF(BC$2&lt;='Pricing'!E$4,'Pricing'!E$56,0)+IF(BC$2&lt;='Pricing'!F$4,'Pricing'!F$56,0)+IF(BC$2&lt;='Pricing'!G$4,'Pricing'!G$56,0)+IF(BC$2&lt;='Pricing'!H$4,'Pricing'!H$56,0)+IF(BC$2&lt;='Pricing'!I$4,'Pricing'!I$56,0)</f>
      </c>
      <c r="BD8" s="270">
        <f>IF(BD$2&lt;='Pricing'!E$4,'Pricing'!E$56,0)+IF(BD$2&lt;='Pricing'!F$4,'Pricing'!F$56,0)+IF(BD$2&lt;='Pricing'!G$4,'Pricing'!G$56,0)+IF(BD$2&lt;='Pricing'!H$4,'Pricing'!H$56,0)+IF(BD$2&lt;='Pricing'!I$4,'Pricing'!I$56,0)</f>
      </c>
      <c r="BE8" s="270">
        <f>IF(BE$2&lt;='Pricing'!E$4,'Pricing'!E$56,0)+IF(BE$2&lt;='Pricing'!F$4,'Pricing'!F$56,0)+IF(BE$2&lt;='Pricing'!G$4,'Pricing'!G$56,0)+IF(BE$2&lt;='Pricing'!H$4,'Pricing'!H$56,0)+IF(BE$2&lt;='Pricing'!I$4,'Pricing'!I$56,0)</f>
      </c>
      <c r="BF8" s="270">
        <f>IF(BF$2&lt;='Pricing'!E$4,'Pricing'!E$56,0)+IF(BF$2&lt;='Pricing'!F$4,'Pricing'!F$56,0)+IF(BF$2&lt;='Pricing'!G$4,'Pricing'!G$56,0)+IF(BF$2&lt;='Pricing'!H$4,'Pricing'!H$56,0)+IF(BF$2&lt;='Pricing'!I$4,'Pricing'!I$56,0)</f>
      </c>
      <c r="BG8" s="270">
        <f>IF(BG$2&lt;='Pricing'!E$4,'Pricing'!E$56,0)+IF(BG$2&lt;='Pricing'!F$4,'Pricing'!F$56,0)+IF(BG$2&lt;='Pricing'!G$4,'Pricing'!G$56,0)+IF(BG$2&lt;='Pricing'!H$4,'Pricing'!H$56,0)+IF(BG$2&lt;='Pricing'!I$4,'Pricing'!I$56,0)</f>
      </c>
      <c r="BH8" s="270">
        <f>IF(BH$2&lt;='Pricing'!E$4,'Pricing'!E$56,0)+IF(BH$2&lt;='Pricing'!F$4,'Pricing'!F$56,0)+IF(BH$2&lt;='Pricing'!G$4,'Pricing'!G$56,0)+IF(BH$2&lt;='Pricing'!H$4,'Pricing'!H$56,0)+IF(BH$2&lt;='Pricing'!I$4,'Pricing'!I$56,0)</f>
      </c>
      <c r="BI8" s="270">
        <f>IF(BI$2&lt;='Pricing'!E$4,'Pricing'!E$56,0)+IF(BI$2&lt;='Pricing'!F$4,'Pricing'!F$56,0)+IF(BI$2&lt;='Pricing'!G$4,'Pricing'!G$56,0)+IF(BI$2&lt;='Pricing'!H$4,'Pricing'!H$56,0)+IF(BI$2&lt;='Pricing'!I$4,'Pricing'!I$56,0)</f>
      </c>
      <c r="BJ8" s="270">
        <f>IF(BJ$2&lt;='Pricing'!E$4,'Pricing'!E$56,0)+IF(BJ$2&lt;='Pricing'!F$4,'Pricing'!F$56,0)+IF(BJ$2&lt;='Pricing'!G$4,'Pricing'!G$56,0)+IF(BJ$2&lt;='Pricing'!H$4,'Pricing'!H$56,0)+IF(BJ$2&lt;='Pricing'!I$4,'Pricing'!I$56,0)</f>
      </c>
    </row>
    <row r="9" spans="1:62" ht="15" customHeight="1" x14ac:dyDescent="0.2">
      <c r="B9" s="264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269"/>
      <c r="BC9" s="269"/>
      <c r="BD9" s="269"/>
      <c r="BE9" s="269"/>
      <c r="BF9" s="269"/>
      <c r="BG9" s="269"/>
      <c r="BH9" s="269"/>
      <c r="BI9" s="269"/>
      <c r="BJ9" s="269"/>
    </row>
    <row r="10" spans="1:62" ht="15" customHeight="1" x14ac:dyDescent="0.2">
      <c r="B10" s="271" t="s">
        <v>129</v>
      </c>
      <c r="C10" s="272">
        <f>C8</f>
      </c>
      <c r="D10" s="272">
        <f>SUM($C8:D8)</f>
      </c>
      <c r="E10" s="272">
        <f>SUM($C8:E8)</f>
      </c>
      <c r="F10" s="272">
        <f>SUM($C8:F8)</f>
      </c>
      <c r="G10" s="272">
        <f>SUM($C8:G8)</f>
      </c>
      <c r="H10" s="272">
        <f>SUM($C8:H8)</f>
      </c>
      <c r="I10" s="272">
        <f>SUM($C8:I8)</f>
      </c>
      <c r="J10" s="272">
        <f>SUM($C8:J8)</f>
      </c>
      <c r="K10" s="272">
        <f>SUM($C8:K8)</f>
      </c>
      <c r="L10" s="272">
        <f>SUM($C8:L8)</f>
      </c>
      <c r="M10" s="272">
        <f>SUM($C8:M8)</f>
      </c>
      <c r="N10" s="272">
        <f>SUM($C8:N8)</f>
      </c>
      <c r="O10" s="272">
        <f>SUM($C8:O8)</f>
      </c>
      <c r="P10" s="272">
        <f>SUM($C8:P8)</f>
      </c>
      <c r="Q10" s="272">
        <f>SUM($C8:Q8)</f>
      </c>
      <c r="R10" s="272">
        <f>SUM($C8:R8)</f>
      </c>
      <c r="S10" s="272">
        <f>SUM($C8:S8)</f>
      </c>
      <c r="T10" s="272">
        <f>SUM($C8:T8)</f>
      </c>
      <c r="U10" s="272">
        <f>SUM($C8:U8)</f>
      </c>
      <c r="V10" s="272">
        <f>SUM($C8:V8)</f>
      </c>
      <c r="W10" s="272">
        <f>SUM($C8:W8)</f>
      </c>
      <c r="X10" s="272">
        <f>SUM($C8:X8)</f>
      </c>
      <c r="Y10" s="272">
        <f>SUM($C8:Y8)</f>
      </c>
      <c r="Z10" s="272">
        <f>SUM($C8:Z8)</f>
      </c>
      <c r="AA10" s="272">
        <f>SUM($C8:AA8)</f>
      </c>
      <c r="AB10" s="272">
        <f>SUM($C8:AB8)</f>
      </c>
      <c r="AC10" s="272">
        <f>SUM($C8:AC8)</f>
      </c>
      <c r="AD10" s="272">
        <f>SUM($C8:AD8)</f>
      </c>
      <c r="AE10" s="272">
        <f>SUM($C8:AE8)</f>
      </c>
      <c r="AF10" s="272">
        <f>SUM($C8:AF8)</f>
      </c>
      <c r="AG10" s="272">
        <f>SUM($C8:AG8)</f>
      </c>
      <c r="AH10" s="272">
        <f>SUM($C8:AH8)</f>
      </c>
      <c r="AI10" s="272">
        <f>SUM($C8:AI8)</f>
      </c>
      <c r="AJ10" s="272">
        <f>SUM($C8:AJ8)</f>
      </c>
      <c r="AK10" s="272">
        <f>SUM($C8:AK8)</f>
      </c>
      <c r="AL10" s="272">
        <f>SUM($C8:AL8)</f>
      </c>
      <c r="AM10" s="272">
        <f>SUM($C8:AM8)</f>
      </c>
      <c r="AN10" s="272">
        <f>SUM($C8:AN8)</f>
      </c>
      <c r="AO10" s="272">
        <f>SUM($C8:AO8)</f>
      </c>
      <c r="AP10" s="272">
        <f>SUM($C8:AP8)</f>
      </c>
      <c r="AQ10" s="272">
        <f>SUM($C8:AQ8)</f>
      </c>
      <c r="AR10" s="272">
        <f>SUM($C8:AR8)</f>
      </c>
      <c r="AS10" s="272">
        <f>SUM($C8:AS8)</f>
      </c>
      <c r="AT10" s="272">
        <f>SUM($C8:AT8)</f>
      </c>
      <c r="AU10" s="272">
        <f>SUM($C8:AU8)</f>
      </c>
      <c r="AV10" s="272">
        <f>SUM($C8:AV8)</f>
      </c>
      <c r="AW10" s="272">
        <f>SUM($C8:AW8)</f>
      </c>
      <c r="AX10" s="272">
        <f>SUM($C8:AX8)</f>
      </c>
      <c r="AY10" s="272">
        <f>SUM($C8:AY8)</f>
      </c>
      <c r="AZ10" s="272">
        <f>SUM($C8:AZ8)</f>
      </c>
      <c r="BA10" s="272">
        <f>SUM($C8:BA8)</f>
      </c>
      <c r="BB10" s="272">
        <f>SUM($C8:BB8)</f>
      </c>
      <c r="BC10" s="272">
        <f>SUM($C8:BC8)</f>
      </c>
      <c r="BD10" s="272">
        <f>SUM($C8:BD8)</f>
      </c>
      <c r="BE10" s="272">
        <f>SUM($C8:BE8)</f>
      </c>
      <c r="BF10" s="272">
        <f>SUM($C8:BF8)</f>
      </c>
      <c r="BG10" s="272">
        <f>SUM($C8:BG8)</f>
      </c>
      <c r="BH10" s="272">
        <f>SUM($C8:BH8)</f>
      </c>
      <c r="BI10" s="272">
        <f>SUM($C8:BI8)</f>
      </c>
      <c r="BJ10" s="272">
        <f>SUM($C8:BJ8)</f>
      </c>
    </row>
    <row r="11" spans="1:62" ht="15" customHeight="1" x14ac:dyDescent="0.2">
      <c r="B11" s="267"/>
      <c r="C11" s="264"/>
      <c r="D11" s="273">
        <f>IF(AND(C10&lt;0,D10&gt;=0,D8&gt;0),-C10/D8,"n/m")</f>
      </c>
      <c r="E11" s="273">
        <f>IF(AND(D10&lt;0,E10&gt;=0,E8&gt;0),-D10/E8,"n/m")</f>
      </c>
      <c r="F11" s="273">
        <f>IF(AND(E10&lt;0,F10&gt;=0,F8&gt;0),-E10/F8,"n/m")</f>
      </c>
      <c r="G11" s="273">
        <f>IF(AND(F10&lt;0,G10&gt;=0,G8&gt;0),-F10/G8,"n/m")</f>
      </c>
      <c r="H11" s="273">
        <f>IF(AND(G10&lt;0,H10&gt;=0,H8&gt;0),-G10/H8,"n/m")</f>
      </c>
      <c r="I11" s="273">
        <f>IF(AND(H10&lt;0,I10&gt;=0,I8&gt;0),-H10/I8,"n/m")</f>
      </c>
      <c r="J11" s="273">
        <f>IF(AND(I10&lt;0,J10&gt;=0,J8&gt;0),-I10/J8,"n/m")</f>
      </c>
      <c r="K11" s="273">
        <f>IF(AND(J10&lt;0,K10&gt;=0,K8&gt;0),-J10/K8,"n/m")</f>
      </c>
      <c r="L11" s="273">
        <f>IF(AND(K10&lt;0,L10&gt;=0,L8&gt;0),-K10/L8,"n/m")</f>
      </c>
      <c r="M11" s="273">
        <f>IF(AND(L10&lt;0,M10&gt;=0,M8&gt;0),-L10/M8,"n/m")</f>
      </c>
      <c r="N11" s="273">
        <f>IF(AND(M10&lt;0,N10&gt;=0,N8&gt;0),-M10/N8,"n/m")</f>
      </c>
      <c r="O11" s="273">
        <f>IF(AND(N10&lt;0,O10&gt;=0,O8&gt;0),-N10/O8,"n/m")</f>
      </c>
      <c r="P11" s="273">
        <f>IF(AND(O10&lt;0,P10&gt;=0,P8&gt;0),-O10/P8,"n/m")</f>
      </c>
      <c r="Q11" s="273">
        <f>IF(AND(P10&lt;0,Q10&gt;=0,Q8&gt;0),-P10/Q8,"n/m")</f>
      </c>
      <c r="R11" s="273">
        <f>IF(AND(Q10&lt;0,R10&gt;=0,R8&gt;0),-Q10/R8,"n/m")</f>
      </c>
      <c r="S11" s="273">
        <f>IF(AND(R10&lt;0,S10&gt;=0,S8&gt;0),-R10/S8,"n/m")</f>
      </c>
      <c r="T11" s="273">
        <f>IF(AND(S10&lt;0,T10&gt;=0,T8&gt;0),-S10/T8,"n/m")</f>
      </c>
      <c r="U11" s="273">
        <f>IF(AND(T10&lt;0,U10&gt;=0,U8&gt;0),-T10/U8,"n/m")</f>
      </c>
      <c r="V11" s="273">
        <f>IF(AND(U10&lt;0,V10&gt;=0,V8&gt;0),-U10/V8,"n/m")</f>
      </c>
      <c r="W11" s="273">
        <f>IF(AND(V10&lt;0,W10&gt;=0,W8&gt;0),-V10/W8,"n/m")</f>
      </c>
      <c r="X11" s="273">
        <f>IF(AND(W10&lt;0,X10&gt;=0,X8&gt;0),-W10/X8,"n/m")</f>
      </c>
      <c r="Y11" s="273">
        <f>IF(AND(X10&lt;0,Y10&gt;=0,Y8&gt;0),-X10/Y8,"n/m")</f>
      </c>
      <c r="Z11" s="273">
        <f>IF(AND(Y10&lt;0,Z10&gt;=0,Z8&gt;0),-Y10/Z8,"n/m")</f>
      </c>
      <c r="AA11" s="273">
        <f>IF(AND(Z10&lt;0,AA10&gt;=0,AA8&gt;0),-Z10/AA8,"n/m")</f>
      </c>
      <c r="AB11" s="273">
        <f>IF(AND(AA10&lt;0,AB10&gt;=0,AB8&gt;0),-AA10/AB8,"n/m")</f>
      </c>
      <c r="AC11" s="273">
        <f>IF(AND(AB10&lt;0,AC10&gt;=0,AC8&gt;0),-AB10/AC8,"n/m")</f>
      </c>
      <c r="AD11" s="273">
        <f>IF(AND(AC10&lt;0,AD10&gt;=0,AD8&gt;0),-AC10/AD8,"n/m")</f>
      </c>
      <c r="AE11" s="273">
        <f>IF(AND(AD10&lt;0,AE10&gt;=0,AE8&gt;0),-AD10/AE8,"n/m")</f>
      </c>
      <c r="AF11" s="273">
        <f>IF(AND(AE10&lt;0,AF10&gt;=0,AF8&gt;0),-AE10/AF8,"n/m")</f>
      </c>
      <c r="AG11" s="273">
        <f>IF(AND(AF10&lt;0,AG10&gt;=0,AG8&gt;0),-AF10/AG8,"n/m")</f>
      </c>
      <c r="AH11" s="273">
        <f>IF(AND(AG10&lt;0,AH10&gt;=0,AH8&gt;0),-AG10/AH8,"n/m")</f>
      </c>
      <c r="AI11" s="273">
        <f>IF(AND(AH10&lt;0,AI10&gt;=0,AI8&gt;0),-AH10/AI8,"n/m")</f>
      </c>
      <c r="AJ11" s="273">
        <f>IF(AND(AI10&lt;0,AJ10&gt;=0,AJ8&gt;0),-AI10/AJ8,"n/m")</f>
      </c>
      <c r="AK11" s="273">
        <f>IF(AND(AJ10&lt;0,AK10&gt;=0,AK8&gt;0),-AJ10/AK8,"n/m")</f>
      </c>
      <c r="AL11" s="273">
        <f>IF(AND(AK10&lt;0,AL10&gt;=0,AL8&gt;0),-AK10/AL8,"n/m")</f>
      </c>
      <c r="AM11" s="273">
        <f>IF(AND(AL10&lt;0,AM10&gt;=0,AM8&gt;0),-AL10/AM8,"n/m")</f>
      </c>
      <c r="AN11" s="273">
        <f>IF(AND(AM10&lt;0,AN10&gt;=0,AN8&gt;0),-AM10/AN8,"n/m")</f>
      </c>
      <c r="AO11" s="273">
        <f>IF(AND(AN10&lt;0,AO10&gt;=0,AO8&gt;0),-AN10/AO8,"n/m")</f>
      </c>
      <c r="AP11" s="273">
        <f>IF(AND(AO10&lt;0,AP10&gt;=0,AP8&gt;0),-AO10/AP8,"n/m")</f>
      </c>
      <c r="AQ11" s="273">
        <f>IF(AND(AP10&lt;0,AQ10&gt;=0,AQ8&gt;0),-AP10/AQ8,"n/m")</f>
      </c>
      <c r="AR11" s="273">
        <f>IF(AND(AQ10&lt;0,AR10&gt;=0,AR8&gt;0),-AQ10/AR8,"n/m")</f>
      </c>
      <c r="AS11" s="273">
        <f>IF(AND(AR10&lt;0,AS10&gt;=0,AS8&gt;0),-AR10/AS8,"n/m")</f>
      </c>
      <c r="AT11" s="273">
        <f>IF(AND(AS10&lt;0,AT10&gt;=0,AT8&gt;0),-AS10/AT8,"n/m")</f>
      </c>
      <c r="AU11" s="273">
        <f>IF(AND(AT10&lt;0,AU10&gt;=0,AU8&gt;0),-AT10/AU8,"n/m")</f>
      </c>
      <c r="AV11" s="273">
        <f>IF(AND(AU10&lt;0,AV10&gt;=0,AV8&gt;0),-AU10/AV8,"n/m")</f>
      </c>
      <c r="AW11" s="273">
        <f>IF(AND(AV10&lt;0,AW10&gt;=0,AW8&gt;0),-AV10/AW8,"n/m")</f>
      </c>
      <c r="AX11" s="273">
        <f>IF(AND(AW10&lt;0,AX10&gt;=0,AX8&gt;0),-AW10/AX8,"n/m")</f>
      </c>
      <c r="AY11" s="273">
        <f>IF(AND(AX10&lt;0,AY10&gt;=0,AY8&gt;0),-AX10/AY8,"n/m")</f>
      </c>
      <c r="AZ11" s="273">
        <f>IF(AND(AY10&lt;0,AZ10&gt;=0,AZ8&gt;0),-AY10/AZ8,"n/m")</f>
      </c>
      <c r="BA11" s="273">
        <f>IF(AND(AZ10&lt;0,BA10&gt;=0,BA8&gt;0),-AZ10/BA8,"n/m")</f>
      </c>
      <c r="BB11" s="273">
        <f>IF(AND(BA10&lt;0,BB10&gt;=0,BB8&gt;0),-BA10/BB8,"n/m")</f>
      </c>
      <c r="BC11" s="273">
        <f>IF(AND(BB10&lt;0,BC10&gt;=0,BC8&gt;0),-BB10/BC8,"n/m")</f>
      </c>
      <c r="BD11" s="273">
        <f>IF(AND(BC10&lt;0,BD10&gt;=0,BD8&gt;0),-BC10/BD8,"n/m")</f>
      </c>
      <c r="BE11" s="273">
        <f>IF(AND(BD10&lt;0,BE10&gt;=0,BE8&gt;0),-BD10/BE8,"n/m")</f>
      </c>
      <c r="BF11" s="273">
        <f>IF(AND(BE10&lt;0,BF10&gt;=0,BF8&gt;0),-BE10/BF8,"n/m")</f>
      </c>
      <c r="BG11" s="273">
        <f>IF(AND(BF10&lt;0,BG10&gt;=0,BG8&gt;0),-BF10/BG8,"n/m")</f>
      </c>
      <c r="BH11" s="273">
        <f>IF(AND(BG10&lt;0,BH10&gt;=0,BH8&gt;0),-BG10/BH8,"n/m")</f>
      </c>
      <c r="BI11" s="273">
        <f>IF(AND(BH10&lt;0,BI10&gt;=0,BI8&gt;0),-BH10/BI8,"n/m")</f>
      </c>
      <c r="BJ11" s="273">
        <f>IF(AND(BI10&lt;0,BJ10&gt;=0,BJ8&gt;0),-BI10/BJ8,"n/m")</f>
      </c>
    </row>
    <row r="12" spans="1:62" ht="15" customHeight="1" x14ac:dyDescent="0.2">
      <c r="B12" s="264"/>
      <c r="C12" s="264"/>
      <c r="E12" s="264"/>
      <c r="F12" s="264"/>
      <c r="G12" s="264"/>
      <c r="H12" s="274"/>
      <c r="I12" s="264"/>
      <c r="J12" s="264"/>
    </row>
    <row r="13" spans="1:62" ht="15" customHeight="1" x14ac:dyDescent="0.2">
      <c r="B13" s="264"/>
      <c r="C13" s="264"/>
      <c r="D13" s="264"/>
      <c r="E13" s="264"/>
      <c r="F13" s="264"/>
      <c r="G13" s="264"/>
      <c r="H13" s="274"/>
      <c r="I13" s="264"/>
      <c r="J13" s="264"/>
    </row>
    <row r="14" spans="1:62" ht="15" customHeight="1" x14ac:dyDescent="0.2">
      <c r="B14" s="267" t="s">
        <v>130</v>
      </c>
      <c r="C14" s="275">
        <f>IF(C7&lt;=0,0,IF(BJ10&lt;0,"n/m",COUNTIF(D10:BJ10,"&lt;0")+INDEX(D11:BJ11,1,COUNTIF(D10:BJ10,"&lt;0")+1)))</f>
      </c>
      <c r="E14" s="264"/>
      <c r="F14" s="264"/>
      <c r="G14" s="264"/>
      <c r="H14" s="264"/>
      <c r="I14" s="264"/>
      <c r="J14" s="264"/>
    </row>
    <row r="15" spans="1:62" ht="15" customHeight="1" x14ac:dyDescent="0.2">
      <c r="B15" s="264"/>
      <c r="C15" s="264"/>
      <c r="D15" s="264"/>
      <c r="E15" s="264"/>
      <c r="F15" s="264"/>
      <c r="G15" s="264"/>
      <c r="H15" s="264"/>
      <c r="I15" s="264"/>
      <c r="J15" s="264"/>
    </row>
    <row r="16" spans="1:62" ht="15" customHeight="1" x14ac:dyDescent="0.2">
      <c r="B16" s="264"/>
      <c r="C16" s="264"/>
      <c r="D16" s="264"/>
      <c r="E16" s="264"/>
      <c r="F16" s="264"/>
      <c r="G16" s="264"/>
      <c r="H16" s="264"/>
      <c r="I16" s="264"/>
      <c r="J16" s="264"/>
    </row>
    <row r="17" spans="2:62" ht="15" customHeight="1" x14ac:dyDescent="0.2">
      <c r="B17" s="276" t="s">
        <v>131</v>
      </c>
      <c r="C17" s="264"/>
      <c r="D17" s="264"/>
      <c r="E17" s="264"/>
      <c r="F17" s="264"/>
      <c r="G17" s="264"/>
      <c r="H17" s="264"/>
      <c r="I17" s="264"/>
      <c r="J17" s="264"/>
    </row>
    <row r="18" spans="2:62" ht="15" customHeight="1" x14ac:dyDescent="0.2">
      <c r="B18" s="267" t="s">
        <v>132</v>
      </c>
      <c r="C18" s="277">
        <f>IF(ISNUMBER(C14),INT(C14),"n/m")</f>
      </c>
      <c r="E18" s="264"/>
      <c r="F18" s="264"/>
      <c r="G18" s="264"/>
      <c r="H18" s="264"/>
      <c r="I18" s="264"/>
      <c r="J18" s="264"/>
    </row>
    <row r="19" spans="2:62" ht="15" customHeight="1" x14ac:dyDescent="0.2">
      <c r="B19" s="267" t="s">
        <v>133</v>
      </c>
      <c r="C19" s="277">
        <f>IF(ISNUMBER(C14),MOD(C14,1),"n/m")</f>
      </c>
      <c r="E19" s="264"/>
      <c r="F19" s="264"/>
      <c r="G19" s="264"/>
      <c r="H19" s="264"/>
      <c r="I19" s="264"/>
      <c r="J19" s="264"/>
    </row>
    <row r="20" spans="2:62" ht="15" customHeight="1" x14ac:dyDescent="0.2">
      <c r="B20" s="264"/>
      <c r="C20" s="264"/>
      <c r="D20" s="264"/>
      <c r="E20" s="264"/>
      <c r="F20" s="264"/>
      <c r="G20" s="264"/>
      <c r="H20" s="264"/>
      <c r="I20" s="264"/>
      <c r="J20" s="264"/>
    </row>
    <row r="21" spans="2:62" ht="15" customHeight="1" x14ac:dyDescent="0.2">
      <c r="B21" s="264"/>
      <c r="C21" s="264"/>
      <c r="D21" s="264"/>
      <c r="E21" s="264"/>
      <c r="F21" s="264"/>
      <c r="G21" s="264"/>
      <c r="H21" s="264"/>
      <c r="I21" s="264"/>
      <c r="J21" s="264"/>
    </row>
    <row r="22" spans="2:62" ht="15" customHeight="1" x14ac:dyDescent="0.2">
      <c r="B22" s="278" t="s">
        <v>134</v>
      </c>
      <c r="C22" s="278"/>
      <c r="D22" s="278"/>
      <c r="E22" s="278"/>
      <c r="F22" s="278"/>
      <c r="G22" s="278"/>
      <c r="H22" s="278"/>
      <c r="I22" s="278"/>
      <c r="J22" s="267"/>
    </row>
    <row r="23" spans="2:62" ht="15" customHeight="1" x14ac:dyDescent="0.2">
      <c r="B23" s="267" t="s">
        <v>130</v>
      </c>
      <c r="C23" s="279">
        <f>C14</f>
      </c>
      <c r="D23" s="264"/>
    </row>
    <row r="24" spans="2:62" ht="15" customHeight="1" x14ac:dyDescent="0.2">
      <c r="B24" s="264"/>
      <c r="D24" s="264"/>
      <c r="E24" s="264"/>
      <c r="F24" s="264"/>
      <c r="G24" s="264"/>
      <c r="H24" s="264"/>
      <c r="I24" s="264"/>
      <c r="J24" s="264"/>
    </row>
    <row r="25" spans="2:62" ht="15" customHeight="1" x14ac:dyDescent="0.2">
      <c r="B25" s="264"/>
      <c r="D25" s="264"/>
      <c r="E25" s="264"/>
      <c r="F25" s="264"/>
      <c r="G25" s="264"/>
      <c r="H25" s="264"/>
      <c r="I25" s="264"/>
      <c r="J25" s="264"/>
    </row>
    <row r="27" spans="2:62" s="280" customFormat="1" ht="30.75" customHeight="1" x14ac:dyDescent="0.2">
      <c r="B27" s="281" t="s">
        <v>15</v>
      </c>
      <c r="C27" s="282">
        <v>0</v>
      </c>
      <c r="D27" s="282">
        <f>C27+1</f>
      </c>
      <c r="E27" s="282">
        <f>D27+1</f>
      </c>
      <c r="F27" s="282">
        <f>E27+1</f>
      </c>
      <c r="G27" s="282">
        <f>F27+1</f>
      </c>
      <c r="H27" s="282">
        <f>G27+1</f>
      </c>
      <c r="I27" s="282">
        <f>H27+1</f>
      </c>
      <c r="J27" s="282">
        <f>I27+1</f>
      </c>
      <c r="K27" s="282">
        <f>J27+1</f>
      </c>
      <c r="L27" s="282">
        <f>K27+1</f>
      </c>
      <c r="M27" s="282">
        <f>L27+1</f>
      </c>
      <c r="N27" s="282">
        <f>M27+1</f>
      </c>
      <c r="O27" s="282">
        <f>N27+1</f>
      </c>
      <c r="P27" s="282">
        <f>O27+1</f>
      </c>
      <c r="Q27" s="282">
        <f>P27+1</f>
      </c>
      <c r="R27" s="282">
        <f>Q27+1</f>
      </c>
      <c r="S27" s="282">
        <f>R27+1</f>
      </c>
      <c r="T27" s="282">
        <f>S27+1</f>
      </c>
      <c r="U27" s="282">
        <f>T27+1</f>
      </c>
      <c r="V27" s="282">
        <f>U27+1</f>
      </c>
      <c r="W27" s="282">
        <f>V27+1</f>
      </c>
      <c r="X27" s="282">
        <f>W27+1</f>
      </c>
      <c r="Y27" s="282">
        <f>X27+1</f>
      </c>
      <c r="Z27" s="282">
        <f>Y27+1</f>
      </c>
      <c r="AA27" s="282">
        <f>Z27+1</f>
      </c>
      <c r="AB27" s="282">
        <f>AA27+1</f>
      </c>
      <c r="AC27" s="282">
        <f>AB27+1</f>
      </c>
      <c r="AD27" s="282">
        <f>AC27+1</f>
      </c>
      <c r="AE27" s="282">
        <f>AD27+1</f>
      </c>
      <c r="AF27" s="282">
        <f>AE27+1</f>
      </c>
      <c r="AG27" s="282">
        <f>AF27+1</f>
      </c>
      <c r="AH27" s="282">
        <f>AG27+1</f>
      </c>
      <c r="AI27" s="282">
        <f>AH27+1</f>
      </c>
      <c r="AJ27" s="282">
        <f>AI27+1</f>
      </c>
      <c r="AK27" s="282">
        <f>AJ27+1</f>
      </c>
      <c r="AL27" s="282">
        <f>AK27+1</f>
      </c>
      <c r="AM27" s="282">
        <f>AL27+1</f>
      </c>
      <c r="AN27" s="282">
        <f>AM27+1</f>
      </c>
      <c r="AO27" s="282">
        <f>AN27+1</f>
      </c>
      <c r="AP27" s="282">
        <f>AO27+1</f>
      </c>
      <c r="AQ27" s="282">
        <f>AP27+1</f>
      </c>
      <c r="AR27" s="282">
        <f>AQ27+1</f>
      </c>
      <c r="AS27" s="282">
        <f>AR27+1</f>
      </c>
      <c r="AT27" s="282">
        <f>AS27+1</f>
      </c>
      <c r="AU27" s="282">
        <f>AT27+1</f>
      </c>
      <c r="AV27" s="282">
        <f>AU27+1</f>
      </c>
      <c r="AW27" s="282">
        <f>AV27+1</f>
      </c>
      <c r="AX27" s="282">
        <f>AW27+1</f>
      </c>
      <c r="AY27" s="282">
        <f>AX27+1</f>
      </c>
      <c r="AZ27" s="282">
        <f>AY27+1</f>
      </c>
      <c r="BA27" s="282">
        <f>AZ27+1</f>
      </c>
      <c r="BB27" s="282">
        <f>BA27+1</f>
      </c>
      <c r="BC27" s="282">
        <f>BB27+1</f>
      </c>
      <c r="BD27" s="282">
        <f>BC27+1</f>
      </c>
      <c r="BE27" s="282">
        <f>BD27+1</f>
      </c>
      <c r="BF27" s="282">
        <f>BE27+1</f>
      </c>
      <c r="BG27" s="282">
        <f>BF27+1</f>
      </c>
      <c r="BH27" s="282">
        <f>BG27+1</f>
      </c>
      <c r="BI27" s="282">
        <f>BH27+1</f>
      </c>
      <c r="BJ27" s="282">
        <f>BI27+1</f>
      </c>
    </row>
    <row r="28" spans="2:62" s="280" customFormat="1" ht="15" customHeight="1" x14ac:dyDescent="0.2">
      <c r="B28" s="283" t="s">
        <v>125</v>
      </c>
      <c r="C28" s="284" t="s">
        <v>20</v>
      </c>
      <c r="D28" s="266">
        <f>SUM(Pricing!E56)</f>
      </c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5"/>
      <c r="BB28" s="285"/>
      <c r="BC28" s="285"/>
      <c r="BD28" s="285"/>
      <c r="BE28" s="285"/>
      <c r="BF28" s="285"/>
      <c r="BG28" s="285"/>
      <c r="BH28" s="285"/>
      <c r="BI28" s="285"/>
      <c r="BJ28" s="285"/>
    </row>
    <row r="29" spans="2:62" s="280" customFormat="1" ht="15" customHeight="1" x14ac:dyDescent="0.2">
      <c r="B29" s="283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285"/>
      <c r="AZ29" s="285"/>
      <c r="BA29" s="285"/>
      <c r="BB29" s="285"/>
      <c r="BC29" s="285"/>
      <c r="BD29" s="285"/>
      <c r="BE29" s="285"/>
      <c r="BF29" s="285"/>
      <c r="BG29" s="285"/>
      <c r="BH29" s="285"/>
      <c r="BI29" s="285"/>
      <c r="BJ29" s="285"/>
    </row>
    <row r="30" spans="2:62" s="280" customFormat="1" ht="15" customHeight="1" x14ac:dyDescent="0.2">
      <c r="B30" s="283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285"/>
      <c r="BD30" s="285"/>
      <c r="BE30" s="285"/>
      <c r="BF30" s="285"/>
      <c r="BG30" s="285"/>
      <c r="BH30" s="285"/>
      <c r="BI30" s="285"/>
      <c r="BJ30" s="285"/>
    </row>
    <row r="31" spans="2:62" s="280" customFormat="1" ht="15" customHeight="1" x14ac:dyDescent="0.2">
      <c r="B31" s="283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5"/>
      <c r="BB31" s="285"/>
      <c r="BC31" s="285"/>
      <c r="BD31" s="285"/>
      <c r="BE31" s="285"/>
      <c r="BF31" s="285"/>
      <c r="BG31" s="285"/>
      <c r="BH31" s="285"/>
      <c r="BI31" s="285"/>
      <c r="BJ31" s="285"/>
    </row>
    <row r="32" spans="2:62" s="280" customFormat="1" ht="15" customHeight="1" x14ac:dyDescent="0.2">
      <c r="B32" s="283" t="s">
        <v>127</v>
      </c>
      <c r="C32" s="266">
        <f>'Pricing'!E52-'Pricing'!E7-'Pricing'!E100</f>
      </c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6"/>
      <c r="BD32" s="286"/>
      <c r="BE32" s="286"/>
      <c r="BF32" s="286"/>
      <c r="BG32" s="286"/>
      <c r="BH32" s="286"/>
      <c r="BI32" s="286"/>
      <c r="BJ32" s="286"/>
    </row>
    <row r="33" spans="2:62" s="280" customFormat="1" ht="15" customHeight="1" x14ac:dyDescent="0.2">
      <c r="B33" s="283" t="s">
        <v>128</v>
      </c>
      <c r="C33" s="286">
        <f>-C32</f>
      </c>
      <c r="D33" s="287">
        <f>IF(D$27&lt;='Pricing'!E$4,'Pricing'!E$56,0)</f>
      </c>
      <c r="E33" s="287">
        <f>IF(E$27&lt;='Pricing'!E$4,'Pricing'!E$56,0)</f>
      </c>
      <c r="F33" s="287">
        <f>IF(F$27&lt;='Pricing'!E$4,'Pricing'!E$56,0)</f>
      </c>
      <c r="G33" s="287">
        <f>IF(G$27&lt;='Pricing'!E$4,'Pricing'!E$56,0)</f>
      </c>
      <c r="H33" s="287">
        <f>IF(H$27&lt;='Pricing'!E$4,'Pricing'!E$56,0)</f>
      </c>
      <c r="I33" s="287">
        <f>IF(I$27&lt;='Pricing'!E$4,'Pricing'!E$56,0)</f>
      </c>
      <c r="J33" s="287">
        <f>IF(J$27&lt;='Pricing'!E$4,'Pricing'!E$56,0)</f>
      </c>
      <c r="K33" s="287">
        <f>IF(K$27&lt;='Pricing'!E$4,'Pricing'!E$56,0)</f>
      </c>
      <c r="L33" s="287">
        <f>IF(L$27&lt;='Pricing'!E$4,'Pricing'!E$56,0)</f>
      </c>
      <c r="M33" s="287">
        <f>IF(M$27&lt;='Pricing'!E$4,'Pricing'!E$56,0)</f>
      </c>
      <c r="N33" s="287">
        <f>IF(N$27&lt;='Pricing'!E$4,'Pricing'!E$56,0)</f>
      </c>
      <c r="O33" s="287">
        <f>IF(O$27&lt;='Pricing'!E$4,'Pricing'!E$56,0)</f>
      </c>
      <c r="P33" s="287">
        <f>IF(P$27&lt;='Pricing'!E$4,'Pricing'!E$56,0)</f>
      </c>
      <c r="Q33" s="287">
        <f>IF(Q$27&lt;='Pricing'!E$4,'Pricing'!E$56,0)</f>
      </c>
      <c r="R33" s="287">
        <f>IF(R$27&lt;='Pricing'!E$4,'Pricing'!E$56,0)</f>
      </c>
      <c r="S33" s="287">
        <f>IF(S$27&lt;='Pricing'!E$4,'Pricing'!E$56,0)</f>
      </c>
      <c r="T33" s="287">
        <f>IF(T$27&lt;='Pricing'!E$4,'Pricing'!E$56,0)</f>
      </c>
      <c r="U33" s="287">
        <f>IF(U$27&lt;='Pricing'!E$4,'Pricing'!E$56,0)</f>
      </c>
      <c r="V33" s="287">
        <f>IF(V$27&lt;='Pricing'!E$4,'Pricing'!E$56,0)</f>
      </c>
      <c r="W33" s="287">
        <f>IF(W$27&lt;='Pricing'!E$4,'Pricing'!E$56,0)</f>
      </c>
      <c r="X33" s="287">
        <f>IF(X$27&lt;='Pricing'!E$4,'Pricing'!E$56,0)</f>
      </c>
      <c r="Y33" s="287">
        <f>IF(Y$27&lt;='Pricing'!E$4,'Pricing'!E$56,0)</f>
      </c>
      <c r="Z33" s="287">
        <f>IF(Z$27&lt;='Pricing'!E$4,'Pricing'!E$56,0)</f>
      </c>
      <c r="AA33" s="287">
        <f>IF(AA$27&lt;='Pricing'!E$4,'Pricing'!E$56,0)</f>
      </c>
      <c r="AB33" s="287">
        <f>IF(AB$27&lt;='Pricing'!E$4,'Pricing'!E$56,0)</f>
      </c>
      <c r="AC33" s="287">
        <f>IF(AC$27&lt;='Pricing'!E$4,'Pricing'!E$56,0)</f>
      </c>
      <c r="AD33" s="287">
        <f>IF(AD$27&lt;='Pricing'!E$4,'Pricing'!E$56,0)</f>
      </c>
      <c r="AE33" s="287">
        <f>IF(AE$27&lt;='Pricing'!E$4,'Pricing'!E$56,0)</f>
      </c>
      <c r="AF33" s="287">
        <f>IF(AF$27&lt;='Pricing'!E$4,'Pricing'!E$56,0)</f>
      </c>
      <c r="AG33" s="287">
        <f>IF(AG$27&lt;='Pricing'!E$4,'Pricing'!E$56,0)</f>
      </c>
      <c r="AH33" s="287">
        <f>IF(AH$27&lt;='Pricing'!E$4,'Pricing'!E$56,0)</f>
      </c>
      <c r="AI33" s="287">
        <f>IF(AI$27&lt;='Pricing'!E$4,'Pricing'!E$56,0)</f>
      </c>
      <c r="AJ33" s="287">
        <f>IF(AJ$27&lt;='Pricing'!E$4,'Pricing'!E$56,0)</f>
      </c>
      <c r="AK33" s="287">
        <f>IF(AK$27&lt;='Pricing'!E$4,'Pricing'!E$56,0)</f>
      </c>
      <c r="AL33" s="287">
        <f>IF(AL$27&lt;='Pricing'!E$4,'Pricing'!E$56,0)</f>
      </c>
      <c r="AM33" s="287">
        <f>IF(AM$27&lt;='Pricing'!E$4,'Pricing'!E$56,0)</f>
      </c>
      <c r="AN33" s="287">
        <f>IF(AN$27&lt;='Pricing'!E$4,'Pricing'!E$56,0)</f>
      </c>
      <c r="AO33" s="287">
        <f>IF(AO$27&lt;='Pricing'!E$4,'Pricing'!E$56,0)</f>
      </c>
      <c r="AP33" s="287">
        <f>IF(AP$27&lt;='Pricing'!E$4,'Pricing'!E$56,0)</f>
      </c>
      <c r="AQ33" s="287">
        <f>IF(AQ$27&lt;='Pricing'!E$4,'Pricing'!E$56,0)</f>
      </c>
      <c r="AR33" s="287">
        <f>IF(AR$27&lt;='Pricing'!E$4,'Pricing'!E$56,0)</f>
      </c>
      <c r="AS33" s="287">
        <f>IF(AS$27&lt;='Pricing'!E$4,'Pricing'!E$56,0)</f>
      </c>
      <c r="AT33" s="287">
        <f>IF(AT$27&lt;='Pricing'!E$4,'Pricing'!E$56,0)</f>
      </c>
      <c r="AU33" s="287">
        <f>IF(AU$27&lt;='Pricing'!E$4,'Pricing'!E$56,0)</f>
      </c>
      <c r="AV33" s="287">
        <f>IF(AV$27&lt;='Pricing'!E$4,'Pricing'!E$56,0)</f>
      </c>
      <c r="AW33" s="287">
        <f>IF(AW$27&lt;='Pricing'!E$4,'Pricing'!E$56,0)</f>
      </c>
      <c r="AX33" s="287">
        <f>IF(AX$27&lt;='Pricing'!E$4,'Pricing'!E$56,0)</f>
      </c>
      <c r="AY33" s="287">
        <f>IF(AY$27&lt;='Pricing'!E$4,'Pricing'!E$56,0)</f>
      </c>
      <c r="AZ33" s="287">
        <f>IF(AZ$27&lt;='Pricing'!E$4,'Pricing'!E$56,0)</f>
      </c>
      <c r="BA33" s="287">
        <f>IF(BA$27&lt;='Pricing'!E$4,'Pricing'!E$56,0)</f>
      </c>
      <c r="BB33" s="287">
        <f>IF(BB$27&lt;='Pricing'!E$4,'Pricing'!E$56,0)</f>
      </c>
      <c r="BC33" s="287">
        <f>IF(BC$27&lt;='Pricing'!E$4,'Pricing'!E$56,0)</f>
      </c>
      <c r="BD33" s="287">
        <f>IF(BD$27&lt;='Pricing'!E$4,'Pricing'!E$56,0)</f>
      </c>
      <c r="BE33" s="287">
        <f>IF(BE$27&lt;='Pricing'!E$4,'Pricing'!E$56,0)</f>
      </c>
      <c r="BF33" s="287">
        <f>IF(BF$27&lt;='Pricing'!E$4,'Pricing'!E$56,0)</f>
      </c>
      <c r="BG33" s="287">
        <f>IF(BG$27&lt;='Pricing'!E$4,'Pricing'!E$56,0)</f>
      </c>
      <c r="BH33" s="287">
        <f>IF(BH$27&lt;='Pricing'!E$4,'Pricing'!E$56,0)</f>
      </c>
      <c r="BI33" s="287">
        <f>IF(BI$27&lt;='Pricing'!E$4,'Pricing'!E$56,0)</f>
      </c>
      <c r="BJ33" s="287">
        <f>IF(BJ$27&lt;='Pricing'!E$4,'Pricing'!E$56,0)</f>
      </c>
    </row>
    <row r="34" spans="2:62" s="280" customFormat="1" ht="15" customHeight="1" x14ac:dyDescent="0.2">
      <c r="B34" s="283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  <c r="AD34" s="286"/>
      <c r="AE34" s="286"/>
      <c r="AF34" s="286"/>
      <c r="AG34" s="286"/>
      <c r="AH34" s="286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86"/>
      <c r="AU34" s="286"/>
      <c r="AV34" s="286"/>
      <c r="AW34" s="286"/>
      <c r="AX34" s="286"/>
      <c r="AY34" s="286"/>
      <c r="AZ34" s="286"/>
      <c r="BA34" s="286"/>
      <c r="BB34" s="286"/>
      <c r="BC34" s="286"/>
      <c r="BD34" s="286"/>
      <c r="BE34" s="286"/>
      <c r="BF34" s="286"/>
      <c r="BG34" s="286"/>
      <c r="BH34" s="286"/>
      <c r="BI34" s="286"/>
      <c r="BJ34" s="286"/>
    </row>
    <row r="35" spans="2:62" s="280" customFormat="1" ht="15" customHeight="1" x14ac:dyDescent="0.2">
      <c r="B35" s="288" t="s">
        <v>129</v>
      </c>
      <c r="C35" s="289">
        <f>C33</f>
      </c>
      <c r="D35" s="289">
        <f>SUM($C33:D33)</f>
      </c>
      <c r="E35" s="289">
        <f>SUM($C33:E33)</f>
      </c>
      <c r="F35" s="289">
        <f>SUM($C33:F33)</f>
      </c>
      <c r="G35" s="289">
        <f>SUM($C33:G33)</f>
      </c>
      <c r="H35" s="289">
        <f>SUM($C33:H33)</f>
      </c>
      <c r="I35" s="289">
        <f>SUM($C33:I33)</f>
      </c>
      <c r="J35" s="289">
        <f>SUM($C33:J33)</f>
      </c>
      <c r="K35" s="289">
        <f>SUM($C33:K33)</f>
      </c>
      <c r="L35" s="289">
        <f>SUM($C33:L33)</f>
      </c>
      <c r="M35" s="289">
        <f>SUM($C33:M33)</f>
      </c>
      <c r="N35" s="289">
        <f>SUM($C33:N33)</f>
      </c>
      <c r="O35" s="289">
        <f>SUM($C33:O33)</f>
      </c>
      <c r="P35" s="289">
        <f>SUM($C33:P33)</f>
      </c>
      <c r="Q35" s="289">
        <f>SUM($C33:Q33)</f>
      </c>
      <c r="R35" s="289">
        <f>SUM($C33:R33)</f>
      </c>
      <c r="S35" s="289">
        <f>SUM($C33:S33)</f>
      </c>
      <c r="T35" s="289">
        <f>SUM($C33:T33)</f>
      </c>
      <c r="U35" s="289">
        <f>SUM($C33:U33)</f>
      </c>
      <c r="V35" s="289">
        <f>SUM($C33:V33)</f>
      </c>
      <c r="W35" s="289">
        <f>SUM($C33:W33)</f>
      </c>
      <c r="X35" s="289">
        <f>SUM($C33:X33)</f>
      </c>
      <c r="Y35" s="289">
        <f>SUM($C33:Y33)</f>
      </c>
      <c r="Z35" s="289">
        <f>SUM($C33:Z33)</f>
      </c>
      <c r="AA35" s="289">
        <f>SUM($C33:AA33)</f>
      </c>
      <c r="AB35" s="289">
        <f>SUM($C33:AB33)</f>
      </c>
      <c r="AC35" s="289">
        <f>SUM($C33:AC33)</f>
      </c>
      <c r="AD35" s="289">
        <f>SUM($C33:AD33)</f>
      </c>
      <c r="AE35" s="289">
        <f>SUM($C33:AE33)</f>
      </c>
      <c r="AF35" s="289">
        <f>SUM($C33:AF33)</f>
      </c>
      <c r="AG35" s="289">
        <f>SUM($C33:AG33)</f>
      </c>
      <c r="AH35" s="289">
        <f>SUM($C33:AH33)</f>
      </c>
      <c r="AI35" s="289">
        <f>SUM($C33:AI33)</f>
      </c>
      <c r="AJ35" s="289">
        <f>SUM($C33:AJ33)</f>
      </c>
      <c r="AK35" s="289">
        <f>SUM($C33:AK33)</f>
      </c>
      <c r="AL35" s="289">
        <f>SUM($C33:AL33)</f>
      </c>
      <c r="AM35" s="289">
        <f>SUM($C33:AM33)</f>
      </c>
      <c r="AN35" s="289">
        <f>SUM($C33:AN33)</f>
      </c>
      <c r="AO35" s="289">
        <f>SUM($C33:AO33)</f>
      </c>
      <c r="AP35" s="289">
        <f>SUM($C33:AP33)</f>
      </c>
      <c r="AQ35" s="289">
        <f>SUM($C33:AQ33)</f>
      </c>
      <c r="AR35" s="289">
        <f>SUM($C33:AR33)</f>
      </c>
      <c r="AS35" s="289">
        <f>SUM($C33:AS33)</f>
      </c>
      <c r="AT35" s="289">
        <f>SUM($C33:AT33)</f>
      </c>
      <c r="AU35" s="289">
        <f>SUM($C33:AU33)</f>
      </c>
      <c r="AV35" s="289">
        <f>SUM($C33:AV33)</f>
      </c>
      <c r="AW35" s="289">
        <f>SUM($C33:AW33)</f>
      </c>
      <c r="AX35" s="289">
        <f>SUM($C33:AX33)</f>
      </c>
      <c r="AY35" s="289">
        <f>SUM($C33:AY33)</f>
      </c>
      <c r="AZ35" s="289">
        <f>SUM($C33:AZ33)</f>
      </c>
      <c r="BA35" s="289">
        <f>SUM($C33:BA33)</f>
      </c>
      <c r="BB35" s="289">
        <f>SUM($C33:BB33)</f>
      </c>
      <c r="BC35" s="289">
        <f>SUM($C33:BC33)</f>
      </c>
      <c r="BD35" s="289">
        <f>SUM($C33:BD33)</f>
      </c>
      <c r="BE35" s="289">
        <f>SUM($C33:BE33)</f>
      </c>
      <c r="BF35" s="289">
        <f>SUM($C33:BF33)</f>
      </c>
      <c r="BG35" s="289">
        <f>SUM($C33:BG33)</f>
      </c>
      <c r="BH35" s="289">
        <f>SUM($C33:BH33)</f>
      </c>
      <c r="BI35" s="289">
        <f>SUM($C33:BI33)</f>
      </c>
      <c r="BJ35" s="289">
        <f>SUM($C33:BJ33)</f>
      </c>
    </row>
    <row r="36" spans="2:62" s="280" customFormat="1" ht="15" customHeight="1" x14ac:dyDescent="0.2">
      <c r="B36" s="285"/>
      <c r="C36" s="283"/>
      <c r="D36" s="290">
        <f>IF(AND(C35&lt;0,D35&gt;=0,D33&gt;0),-C35/D33,"n/m")</f>
      </c>
      <c r="E36" s="290">
        <f>IF(AND(D35&lt;0,E35&gt;=0,E33&gt;0),-D35/E33,"n/m")</f>
      </c>
      <c r="F36" s="290">
        <f>IF(AND(E35&lt;0,F35&gt;=0,F33&gt;0),-E35/F33,"n/m")</f>
      </c>
      <c r="G36" s="290">
        <f>IF(AND(F35&lt;0,G35&gt;=0,G33&gt;0),-F35/G33,"n/m")</f>
      </c>
      <c r="H36" s="290">
        <f>IF(AND(G35&lt;0,H35&gt;=0,H33&gt;0),-G35/H33,"n/m")</f>
      </c>
      <c r="I36" s="290">
        <f>IF(AND(H35&lt;0,I35&gt;=0,I33&gt;0),-H35/I33,"n/m")</f>
      </c>
      <c r="J36" s="290">
        <f>IF(AND(I35&lt;0,J35&gt;=0,J33&gt;0),-I35/J33,"n/m")</f>
      </c>
      <c r="K36" s="290">
        <f>IF(AND(J35&lt;0,K35&gt;=0,K33&gt;0),-J35/K33,"n/m")</f>
      </c>
      <c r="L36" s="290">
        <f>IF(AND(K35&lt;0,L35&gt;=0,L33&gt;0),-K35/L33,"n/m")</f>
      </c>
      <c r="M36" s="290">
        <f>IF(AND(L35&lt;0,M35&gt;=0,M33&gt;0),-L35/M33,"n/m")</f>
      </c>
      <c r="N36" s="290">
        <f>IF(AND(M35&lt;0,N35&gt;=0,N33&gt;0),-M35/N33,"n/m")</f>
      </c>
      <c r="O36" s="290">
        <f>IF(AND(N35&lt;0,O35&gt;=0,O33&gt;0),-N35/O33,"n/m")</f>
      </c>
      <c r="P36" s="290">
        <f>IF(AND(O35&lt;0,P35&gt;=0,P33&gt;0),-O35/P33,"n/m")</f>
      </c>
      <c r="Q36" s="290">
        <f>IF(AND(P35&lt;0,Q35&gt;=0,Q33&gt;0),-P35/Q33,"n/m")</f>
      </c>
      <c r="R36" s="290">
        <f>IF(AND(Q35&lt;0,R35&gt;=0,R33&gt;0),-Q35/R33,"n/m")</f>
      </c>
      <c r="S36" s="290">
        <f>IF(AND(R35&lt;0,S35&gt;=0,S33&gt;0),-R35/S33,"n/m")</f>
      </c>
      <c r="T36" s="290">
        <f>IF(AND(S35&lt;0,T35&gt;=0,T33&gt;0),-S35/T33,"n/m")</f>
      </c>
      <c r="U36" s="290">
        <f>IF(AND(T35&lt;0,U35&gt;=0,U33&gt;0),-T35/U33,"n/m")</f>
      </c>
      <c r="V36" s="290">
        <f>IF(AND(U35&lt;0,V35&gt;=0,V33&gt;0),-U35/V33,"n/m")</f>
      </c>
      <c r="W36" s="290">
        <f>IF(AND(V35&lt;0,W35&gt;=0,W33&gt;0),-V35/W33,"n/m")</f>
      </c>
      <c r="X36" s="290">
        <f>IF(AND(W35&lt;0,X35&gt;=0,X33&gt;0),-W35/X33,"n/m")</f>
      </c>
      <c r="Y36" s="290">
        <f>IF(AND(X35&lt;0,Y35&gt;=0,Y33&gt;0),-X35/Y33,"n/m")</f>
      </c>
      <c r="Z36" s="290">
        <f>IF(AND(Y35&lt;0,Z35&gt;=0,Z33&gt;0),-Y35/Z33,"n/m")</f>
      </c>
      <c r="AA36" s="290">
        <f>IF(AND(Z35&lt;0,AA35&gt;=0,AA33&gt;0),-Z35/AA33,"n/m")</f>
      </c>
      <c r="AB36" s="290">
        <f>IF(AND(AA35&lt;0,AB35&gt;=0,AB33&gt;0),-AA35/AB33,"n/m")</f>
      </c>
      <c r="AC36" s="290">
        <f>IF(AND(AB35&lt;0,AC35&gt;=0,AC33&gt;0),-AB35/AC33,"n/m")</f>
      </c>
      <c r="AD36" s="290">
        <f>IF(AND(AC35&lt;0,AD35&gt;=0,AD33&gt;0),-AC35/AD33,"n/m")</f>
      </c>
      <c r="AE36" s="290">
        <f>IF(AND(AD35&lt;0,AE35&gt;=0,AE33&gt;0),-AD35/AE33,"n/m")</f>
      </c>
      <c r="AF36" s="290">
        <f>IF(AND(AE35&lt;0,AF35&gt;=0,AF33&gt;0),-AE35/AF33,"n/m")</f>
      </c>
      <c r="AG36" s="290">
        <f>IF(AND(AF35&lt;0,AG35&gt;=0,AG33&gt;0),-AF35/AG33,"n/m")</f>
      </c>
      <c r="AH36" s="290">
        <f>IF(AND(AG35&lt;0,AH35&gt;=0,AH33&gt;0),-AG35/AH33,"n/m")</f>
      </c>
      <c r="AI36" s="290">
        <f>IF(AND(AH35&lt;0,AI35&gt;=0,AI33&gt;0),-AH35/AI33,"n/m")</f>
      </c>
      <c r="AJ36" s="290">
        <f>IF(AND(AI35&lt;0,AJ35&gt;=0,AJ33&gt;0),-AI35/AJ33,"n/m")</f>
      </c>
      <c r="AK36" s="290">
        <f>IF(AND(AJ35&lt;0,AK35&gt;=0,AK33&gt;0),-AJ35/AK33,"n/m")</f>
      </c>
      <c r="AL36" s="290">
        <f>IF(AND(AK35&lt;0,AL35&gt;=0,AL33&gt;0),-AK35/AL33,"n/m")</f>
      </c>
      <c r="AM36" s="290">
        <f>IF(AND(AL35&lt;0,AM35&gt;=0,AM33&gt;0),-AL35/AM33,"n/m")</f>
      </c>
      <c r="AN36" s="290">
        <f>IF(AND(AM35&lt;0,AN35&gt;=0,AN33&gt;0),-AM35/AN33,"n/m")</f>
      </c>
      <c r="AO36" s="290">
        <f>IF(AND(AN35&lt;0,AO35&gt;=0,AO33&gt;0),-AN35/AO33,"n/m")</f>
      </c>
      <c r="AP36" s="290">
        <f>IF(AND(AO35&lt;0,AP35&gt;=0,AP33&gt;0),-AO35/AP33,"n/m")</f>
      </c>
      <c r="AQ36" s="290">
        <f>IF(AND(AP35&lt;0,AQ35&gt;=0,AQ33&gt;0),-AP35/AQ33,"n/m")</f>
      </c>
      <c r="AR36" s="290">
        <f>IF(AND(AQ35&lt;0,AR35&gt;=0,AR33&gt;0),-AQ35/AR33,"n/m")</f>
      </c>
      <c r="AS36" s="290">
        <f>IF(AND(AR35&lt;0,AS35&gt;=0,AS33&gt;0),-AR35/AS33,"n/m")</f>
      </c>
      <c r="AT36" s="290">
        <f>IF(AND(AS35&lt;0,AT35&gt;=0,AT33&gt;0),-AS35/AT33,"n/m")</f>
      </c>
      <c r="AU36" s="290">
        <f>IF(AND(AT35&lt;0,AU35&gt;=0,AU33&gt;0),-AT35/AU33,"n/m")</f>
      </c>
      <c r="AV36" s="290">
        <f>IF(AND(AU35&lt;0,AV35&gt;=0,AV33&gt;0),-AU35/AV33,"n/m")</f>
      </c>
      <c r="AW36" s="290">
        <f>IF(AND(AV35&lt;0,AW35&gt;=0,AW33&gt;0),-AV35/AW33,"n/m")</f>
      </c>
      <c r="AX36" s="290">
        <f>IF(AND(AW35&lt;0,AX35&gt;=0,AX33&gt;0),-AW35/AX33,"n/m")</f>
      </c>
      <c r="AY36" s="290">
        <f>IF(AND(AX35&lt;0,AY35&gt;=0,AY33&gt;0),-AX35/AY33,"n/m")</f>
      </c>
      <c r="AZ36" s="290">
        <f>IF(AND(AY35&lt;0,AZ35&gt;=0,AZ33&gt;0),-AY35/AZ33,"n/m")</f>
      </c>
      <c r="BA36" s="290">
        <f>IF(AND(AZ35&lt;0,BA35&gt;=0,BA33&gt;0),-AZ35/BA33,"n/m")</f>
      </c>
      <c r="BB36" s="290">
        <f>IF(AND(BA35&lt;0,BB35&gt;=0,BB33&gt;0),-BA35/BB33,"n/m")</f>
      </c>
      <c r="BC36" s="290">
        <f>IF(AND(BB35&lt;0,BC35&gt;=0,BC33&gt;0),-BB35/BC33,"n/m")</f>
      </c>
      <c r="BD36" s="290">
        <f>IF(AND(BC35&lt;0,BD35&gt;=0,BD33&gt;0),-BC35/BD33,"n/m")</f>
      </c>
      <c r="BE36" s="290">
        <f>IF(AND(BD35&lt;0,BE35&gt;=0,BE33&gt;0),-BD35/BE33,"n/m")</f>
      </c>
      <c r="BF36" s="290">
        <f>IF(AND(BE35&lt;0,BF35&gt;=0,BF33&gt;0),-BE35/BF33,"n/m")</f>
      </c>
      <c r="BG36" s="290">
        <f>IF(AND(BF35&lt;0,BG35&gt;=0,BG33&gt;0),-BF35/BG33,"n/m")</f>
      </c>
      <c r="BH36" s="290">
        <f>IF(AND(BG35&lt;0,BH35&gt;=0,BH33&gt;0),-BG35/BH33,"n/m")</f>
      </c>
      <c r="BI36" s="290">
        <f>IF(AND(BH35&lt;0,BI35&gt;=0,BI33&gt;0),-BH35/BI33,"n/m")</f>
      </c>
      <c r="BJ36" s="290">
        <f>IF(AND(BI35&lt;0,BJ35&gt;=0,BJ33&gt;0),-BI35/BJ33,"n/m")</f>
      </c>
    </row>
    <row r="37" spans="2:62" s="280" customFormat="1" ht="15" customHeight="1" x14ac:dyDescent="0.2">
      <c r="B37" s="283"/>
      <c r="C37" s="283"/>
      <c r="E37" s="283"/>
      <c r="F37" s="283"/>
      <c r="G37" s="283"/>
      <c r="H37" s="291"/>
      <c r="I37" s="283"/>
      <c r="J37" s="283"/>
    </row>
    <row r="38" spans="2:62" s="280" customFormat="1" ht="15" customHeight="1" x14ac:dyDescent="0.2">
      <c r="B38" s="283"/>
      <c r="C38" s="283"/>
      <c r="D38" s="283"/>
      <c r="E38" s="283"/>
      <c r="F38" s="283"/>
      <c r="G38" s="283"/>
      <c r="H38" s="291"/>
      <c r="I38" s="283"/>
      <c r="J38" s="283"/>
    </row>
    <row r="39" spans="2:62" s="280" customFormat="1" ht="15" customHeight="1" x14ac:dyDescent="0.2">
      <c r="B39" s="285" t="s">
        <v>130</v>
      </c>
      <c r="C39" s="292">
        <f>IF(C32&lt;=0,0,IF(AND('Pricing'!E56&gt;0,C32&lt;='Pricing'!E56*'Pricing'!E4),C32/'Pricing'!E56,"n/m"))</f>
      </c>
      <c r="E39" s="283"/>
      <c r="F39" s="283"/>
      <c r="G39" s="283"/>
      <c r="H39" s="283"/>
      <c r="I39" s="283"/>
      <c r="J39" s="283"/>
    </row>
    <row r="40" spans="2:62" s="280" customFormat="1" ht="15" customHeight="1" x14ac:dyDescent="0.2">
      <c r="B40" s="283"/>
      <c r="C40" s="283"/>
      <c r="D40" s="283"/>
      <c r="E40" s="283"/>
      <c r="F40" s="283"/>
      <c r="G40" s="283"/>
      <c r="H40" s="283"/>
      <c r="I40" s="283"/>
      <c r="J40" s="283"/>
    </row>
    <row r="41" spans="2:62" s="280" customFormat="1" ht="15" customHeight="1" x14ac:dyDescent="0.2">
      <c r="B41" s="283"/>
      <c r="C41" s="283"/>
      <c r="D41" s="283"/>
      <c r="E41" s="283"/>
      <c r="F41" s="283"/>
      <c r="G41" s="283"/>
      <c r="H41" s="283"/>
      <c r="I41" s="283"/>
      <c r="J41" s="283"/>
    </row>
    <row r="42" spans="2:62" s="280" customFormat="1" ht="15" customHeight="1" x14ac:dyDescent="0.2">
      <c r="B42" s="293" t="s">
        <v>131</v>
      </c>
      <c r="C42" s="283"/>
      <c r="D42" s="283"/>
      <c r="E42" s="283"/>
      <c r="F42" s="283"/>
      <c r="G42" s="283"/>
      <c r="H42" s="283"/>
      <c r="I42" s="283"/>
      <c r="J42" s="283"/>
    </row>
    <row r="43" spans="2:62" s="280" customFormat="1" ht="15" customHeight="1" x14ac:dyDescent="0.2">
      <c r="B43" s="285" t="s">
        <v>132</v>
      </c>
      <c r="C43" s="294">
        <f>IF(ISNUMBER(C39),INT(C39),"n/m")</f>
      </c>
      <c r="E43" s="283"/>
      <c r="F43" s="283"/>
      <c r="G43" s="283"/>
      <c r="H43" s="283"/>
      <c r="I43" s="283"/>
      <c r="J43" s="283"/>
    </row>
    <row r="44" spans="2:62" s="280" customFormat="1" ht="15" customHeight="1" x14ac:dyDescent="0.2">
      <c r="B44" s="285" t="s">
        <v>133</v>
      </c>
      <c r="C44" s="294">
        <f>IF(ISNUMBER(C39),MOD(C39,1),"n/m")</f>
      </c>
      <c r="E44" s="283"/>
      <c r="F44" s="283"/>
      <c r="G44" s="283"/>
      <c r="H44" s="283"/>
      <c r="I44" s="283"/>
      <c r="J44" s="283"/>
    </row>
    <row r="45" spans="2:62" s="280" customFormat="1" ht="15" customHeight="1" x14ac:dyDescent="0.2">
      <c r="B45" s="283"/>
      <c r="C45" s="283"/>
      <c r="D45" s="283"/>
      <c r="E45" s="283"/>
      <c r="F45" s="283"/>
      <c r="G45" s="283"/>
      <c r="H45" s="283"/>
      <c r="I45" s="283"/>
      <c r="J45" s="283"/>
    </row>
    <row r="46" spans="2:62" s="280" customFormat="1" ht="15" customHeight="1" x14ac:dyDescent="0.2">
      <c r="B46" s="283"/>
      <c r="C46" s="283"/>
      <c r="D46" s="283"/>
      <c r="E46" s="283"/>
      <c r="F46" s="283"/>
      <c r="G46" s="283"/>
      <c r="H46" s="283"/>
      <c r="I46" s="283"/>
      <c r="J46" s="283"/>
    </row>
    <row r="47" spans="2:62" s="280" customFormat="1" ht="15" customHeight="1" x14ac:dyDescent="0.2">
      <c r="B47" s="285" t="s">
        <v>134</v>
      </c>
      <c r="C47" s="285"/>
      <c r="D47" s="285"/>
      <c r="E47" s="285"/>
      <c r="F47" s="285"/>
      <c r="G47" s="285"/>
      <c r="H47" s="285"/>
      <c r="I47" s="285"/>
      <c r="J47" s="285"/>
    </row>
    <row r="48" spans="2:62" s="280" customFormat="1" ht="15" customHeight="1" x14ac:dyDescent="0.2">
      <c r="B48" s="285" t="s">
        <v>130</v>
      </c>
      <c r="C48" s="279">
        <f>C39</f>
      </c>
      <c r="D48" s="283"/>
    </row>
    <row r="49" spans="2:62" s="280" customFormat="1" ht="15" customHeight="1" x14ac:dyDescent="0.2">
      <c r="B49" s="283"/>
      <c r="D49" s="283"/>
      <c r="E49" s="283"/>
      <c r="F49" s="283"/>
      <c r="G49" s="283"/>
      <c r="H49" s="283"/>
      <c r="I49" s="283"/>
      <c r="J49" s="283"/>
    </row>
    <row r="50" spans="2:62" s="280" customFormat="1" ht="15" customHeight="1" x14ac:dyDescent="0.2">
      <c r="B50" s="283"/>
      <c r="D50" s="283"/>
      <c r="E50" s="283"/>
      <c r="F50" s="283"/>
      <c r="G50" s="283"/>
      <c r="H50" s="283"/>
      <c r="I50" s="283"/>
      <c r="J50" s="283"/>
    </row>
    <row r="53" spans="2:62" ht="30.75" customHeight="1" x14ac:dyDescent="0.2">
      <c r="B53" s="262" t="s">
        <v>16</v>
      </c>
      <c r="C53" s="263">
        <v>0</v>
      </c>
      <c r="D53" s="263">
        <f>C53+1</f>
      </c>
      <c r="E53" s="263">
        <f>D53+1</f>
      </c>
      <c r="F53" s="263">
        <f>E53+1</f>
      </c>
      <c r="G53" s="263">
        <f>F53+1</f>
      </c>
      <c r="H53" s="263">
        <f>G53+1</f>
      </c>
      <c r="I53" s="263">
        <f>H53+1</f>
      </c>
      <c r="J53" s="263">
        <f>I53+1</f>
      </c>
      <c r="K53" s="263">
        <f>J53+1</f>
      </c>
      <c r="L53" s="263">
        <f>K53+1</f>
      </c>
      <c r="M53" s="263">
        <f>L53+1</f>
      </c>
      <c r="N53" s="263">
        <f>M53+1</f>
      </c>
      <c r="O53" s="263">
        <f>N53+1</f>
      </c>
      <c r="P53" s="263">
        <f>O53+1</f>
      </c>
      <c r="Q53" s="263">
        <f>P53+1</f>
      </c>
      <c r="R53" s="263">
        <f>Q53+1</f>
      </c>
      <c r="S53" s="263">
        <f>R53+1</f>
      </c>
      <c r="T53" s="263">
        <f>S53+1</f>
      </c>
      <c r="U53" s="263">
        <f>T53+1</f>
      </c>
      <c r="V53" s="263">
        <f>U53+1</f>
      </c>
      <c r="W53" s="263">
        <f>V53+1</f>
      </c>
      <c r="X53" s="263">
        <f>W53+1</f>
      </c>
      <c r="Y53" s="263">
        <f>X53+1</f>
      </c>
      <c r="Z53" s="263">
        <f>Y53+1</f>
      </c>
      <c r="AA53" s="263">
        <f>Z53+1</f>
      </c>
      <c r="AB53" s="263">
        <f>AA53+1</f>
      </c>
      <c r="AC53" s="263">
        <f>AB53+1</f>
      </c>
      <c r="AD53" s="263">
        <f>AC53+1</f>
      </c>
      <c r="AE53" s="263">
        <f>AD53+1</f>
      </c>
      <c r="AF53" s="263">
        <f>AE53+1</f>
      </c>
      <c r="AG53" s="263">
        <f>AF53+1</f>
      </c>
      <c r="AH53" s="263">
        <f>AG53+1</f>
      </c>
      <c r="AI53" s="263">
        <f>AH53+1</f>
      </c>
      <c r="AJ53" s="263">
        <f>AI53+1</f>
      </c>
      <c r="AK53" s="263">
        <f>AJ53+1</f>
      </c>
      <c r="AL53" s="263">
        <f>AK53+1</f>
      </c>
      <c r="AM53" s="263">
        <f>AL53+1</f>
      </c>
      <c r="AN53" s="263">
        <f>AM53+1</f>
      </c>
      <c r="AO53" s="263">
        <f>AN53+1</f>
      </c>
      <c r="AP53" s="263">
        <f>AO53+1</f>
      </c>
      <c r="AQ53" s="263">
        <f>AP53+1</f>
      </c>
      <c r="AR53" s="263">
        <f>AQ53+1</f>
      </c>
      <c r="AS53" s="263">
        <f>AR53+1</f>
      </c>
      <c r="AT53" s="263">
        <f>AS53+1</f>
      </c>
      <c r="AU53" s="263">
        <f>AT53+1</f>
      </c>
      <c r="AV53" s="263">
        <f>AU53+1</f>
      </c>
      <c r="AW53" s="263">
        <f>AV53+1</f>
      </c>
      <c r="AX53" s="263">
        <f>AW53+1</f>
      </c>
      <c r="AY53" s="263">
        <f>AX53+1</f>
      </c>
      <c r="AZ53" s="263">
        <f>AY53+1</f>
      </c>
      <c r="BA53" s="263">
        <f>AZ53+1</f>
      </c>
      <c r="BB53" s="263">
        <f>BA53+1</f>
      </c>
      <c r="BC53" s="263">
        <f>BB53+1</f>
      </c>
      <c r="BD53" s="263">
        <f>BC53+1</f>
      </c>
      <c r="BE53" s="263">
        <f>BD53+1</f>
      </c>
      <c r="BF53" s="263">
        <f>BE53+1</f>
      </c>
      <c r="BG53" s="263">
        <f>BF53+1</f>
      </c>
      <c r="BH53" s="263">
        <f>BG53+1</f>
      </c>
      <c r="BI53" s="263">
        <f>BH53+1</f>
      </c>
      <c r="BJ53" s="263">
        <f>BI53+1</f>
      </c>
    </row>
    <row r="54" spans="2:62" ht="15" customHeight="1" x14ac:dyDescent="0.2">
      <c r="B54" s="264" t="s">
        <v>125</v>
      </c>
      <c r="C54" s="265" t="s">
        <v>20</v>
      </c>
      <c r="D54" s="295">
        <f>SUM(Pricing!F56)</f>
      </c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267"/>
      <c r="BC54" s="267"/>
      <c r="BD54" s="267"/>
      <c r="BE54" s="267"/>
      <c r="BF54" s="267"/>
      <c r="BG54" s="267"/>
      <c r="BH54" s="267"/>
      <c r="BI54" s="267"/>
      <c r="BJ54" s="267"/>
    </row>
    <row r="55" spans="2:62" ht="15" customHeight="1" x14ac:dyDescent="0.2">
      <c r="B55" s="264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  <c r="AR55" s="267"/>
      <c r="AS55" s="267"/>
      <c r="AT55" s="267"/>
      <c r="AU55" s="267"/>
      <c r="AV55" s="267"/>
      <c r="AW55" s="267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</row>
    <row r="56" spans="2:62" ht="15" customHeight="1" x14ac:dyDescent="0.2">
      <c r="B56" s="264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</row>
    <row r="57" spans="2:62" ht="15" customHeight="1" x14ac:dyDescent="0.2">
      <c r="B57" s="264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</row>
    <row r="58" spans="2:62" ht="15" customHeight="1" x14ac:dyDescent="0.2">
      <c r="B58" s="264" t="s">
        <v>127</v>
      </c>
      <c r="C58" s="266">
        <f>'Pricing'!F52-'Pricing'!F7-'Pricing'!F100</f>
      </c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  <c r="AM58" s="269"/>
      <c r="AN58" s="269"/>
      <c r="AO58" s="269"/>
      <c r="AP58" s="269"/>
      <c r="AQ58" s="269"/>
      <c r="AR58" s="269"/>
      <c r="AS58" s="269"/>
      <c r="AT58" s="269"/>
      <c r="AU58" s="269"/>
      <c r="AV58" s="269"/>
      <c r="AW58" s="269"/>
      <c r="AX58" s="269"/>
      <c r="AY58" s="269"/>
      <c r="AZ58" s="269"/>
      <c r="BA58" s="269"/>
      <c r="BB58" s="269"/>
      <c r="BC58" s="269"/>
      <c r="BD58" s="269"/>
      <c r="BE58" s="269"/>
      <c r="BF58" s="269"/>
      <c r="BG58" s="269"/>
      <c r="BH58" s="269"/>
      <c r="BI58" s="269"/>
      <c r="BJ58" s="269"/>
    </row>
    <row r="59" spans="2:62" ht="15" customHeight="1" x14ac:dyDescent="0.2">
      <c r="B59" s="264" t="s">
        <v>128</v>
      </c>
      <c r="C59" s="269">
        <f>-C58</f>
      </c>
      <c r="D59" s="270">
        <f>IF(D$53&lt;='Pricing'!F$4,'Pricing'!F$56,0)</f>
      </c>
      <c r="E59" s="270">
        <f>IF(E$53&lt;='Pricing'!F$4,'Pricing'!F$56,0)</f>
      </c>
      <c r="F59" s="270">
        <f>IF(F$53&lt;='Pricing'!F$4,'Pricing'!F$56,0)</f>
      </c>
      <c r="G59" s="270">
        <f>IF(G$53&lt;='Pricing'!F$4,'Pricing'!F$56,0)</f>
      </c>
      <c r="H59" s="270">
        <f>IF(H$53&lt;='Pricing'!F$4,'Pricing'!F$56,0)</f>
      </c>
      <c r="I59" s="270">
        <f>IF(I$53&lt;='Pricing'!F$4,'Pricing'!F$56,0)</f>
      </c>
      <c r="J59" s="270">
        <f>IF(J$53&lt;='Pricing'!F$4,'Pricing'!F$56,0)</f>
      </c>
      <c r="K59" s="270">
        <f>IF(K$53&lt;='Pricing'!F$4,'Pricing'!F$56,0)</f>
      </c>
      <c r="L59" s="270">
        <f>IF(L$53&lt;='Pricing'!F$4,'Pricing'!F$56,0)</f>
      </c>
      <c r="M59" s="270">
        <f>IF(M$53&lt;='Pricing'!F$4,'Pricing'!F$56,0)</f>
      </c>
      <c r="N59" s="270">
        <f>IF(N$53&lt;='Pricing'!F$4,'Pricing'!F$56,0)</f>
      </c>
      <c r="O59" s="270">
        <f>IF(O$53&lt;='Pricing'!F$4,'Pricing'!F$56,0)</f>
      </c>
      <c r="P59" s="270">
        <f>IF(P$53&lt;='Pricing'!F$4,'Pricing'!F$56,0)</f>
      </c>
      <c r="Q59" s="270">
        <f>IF(Q$53&lt;='Pricing'!F$4,'Pricing'!F$56,0)</f>
      </c>
      <c r="R59" s="270">
        <f>IF(R$53&lt;='Pricing'!F$4,'Pricing'!F$56,0)</f>
      </c>
      <c r="S59" s="270">
        <f>IF(S$53&lt;='Pricing'!F$4,'Pricing'!F$56,0)</f>
      </c>
      <c r="T59" s="270">
        <f>IF(T$53&lt;='Pricing'!F$4,'Pricing'!F$56,0)</f>
      </c>
      <c r="U59" s="270">
        <f>IF(U$53&lt;='Pricing'!F$4,'Pricing'!F$56,0)</f>
      </c>
      <c r="V59" s="270">
        <f>IF(V$53&lt;='Pricing'!F$4,'Pricing'!F$56,0)</f>
      </c>
      <c r="W59" s="270">
        <f>IF(W$53&lt;='Pricing'!F$4,'Pricing'!F$56,0)</f>
      </c>
      <c r="X59" s="270">
        <f>IF(X$53&lt;='Pricing'!F$4,'Pricing'!F$56,0)</f>
      </c>
      <c r="Y59" s="270">
        <f>IF(Y$53&lt;='Pricing'!F$4,'Pricing'!F$56,0)</f>
      </c>
      <c r="Z59" s="270">
        <f>IF(Z$53&lt;='Pricing'!F$4,'Pricing'!F$56,0)</f>
      </c>
      <c r="AA59" s="270">
        <f>IF(AA$53&lt;='Pricing'!F$4,'Pricing'!F$56,0)</f>
      </c>
      <c r="AB59" s="270">
        <f>IF(AB$53&lt;='Pricing'!F$4,'Pricing'!F$56,0)</f>
      </c>
      <c r="AC59" s="270">
        <f>IF(AC$53&lt;='Pricing'!F$4,'Pricing'!F$56,0)</f>
      </c>
      <c r="AD59" s="270">
        <f>IF(AD$53&lt;='Pricing'!F$4,'Pricing'!F$56,0)</f>
      </c>
      <c r="AE59" s="270">
        <f>IF(AE$53&lt;='Pricing'!F$4,'Pricing'!F$56,0)</f>
      </c>
      <c r="AF59" s="270">
        <f>IF(AF$53&lt;='Pricing'!F$4,'Pricing'!F$56,0)</f>
      </c>
      <c r="AG59" s="270">
        <f>IF(AG$53&lt;='Pricing'!F$4,'Pricing'!F$56,0)</f>
      </c>
      <c r="AH59" s="270">
        <f>IF(AH$53&lt;='Pricing'!F$4,'Pricing'!F$56,0)</f>
      </c>
      <c r="AI59" s="270">
        <f>IF(AI$53&lt;='Pricing'!F$4,'Pricing'!F$56,0)</f>
      </c>
      <c r="AJ59" s="270">
        <f>IF(AJ$53&lt;='Pricing'!F$4,'Pricing'!F$56,0)</f>
      </c>
      <c r="AK59" s="270">
        <f>IF(AK$53&lt;='Pricing'!F$4,'Pricing'!F$56,0)</f>
      </c>
      <c r="AL59" s="270">
        <f>IF(AL$53&lt;='Pricing'!F$4,'Pricing'!F$56,0)</f>
      </c>
      <c r="AM59" s="270">
        <f>IF(AM$53&lt;='Pricing'!F$4,'Pricing'!F$56,0)</f>
      </c>
      <c r="AN59" s="270">
        <f>IF(AN$53&lt;='Pricing'!F$4,'Pricing'!F$56,0)</f>
      </c>
      <c r="AO59" s="270">
        <f>IF(AO$53&lt;='Pricing'!F$4,'Pricing'!F$56,0)</f>
      </c>
      <c r="AP59" s="270">
        <f>IF(AP$53&lt;='Pricing'!F$4,'Pricing'!F$56,0)</f>
      </c>
      <c r="AQ59" s="270">
        <f>IF(AQ$53&lt;='Pricing'!F$4,'Pricing'!F$56,0)</f>
      </c>
      <c r="AR59" s="270">
        <f>IF(AR$53&lt;='Pricing'!F$4,'Pricing'!F$56,0)</f>
      </c>
      <c r="AS59" s="270">
        <f>IF(AS$53&lt;='Pricing'!F$4,'Pricing'!F$56,0)</f>
      </c>
      <c r="AT59" s="270">
        <f>IF(AT$53&lt;='Pricing'!F$4,'Pricing'!F$56,0)</f>
      </c>
      <c r="AU59" s="270">
        <f>IF(AU$53&lt;='Pricing'!F$4,'Pricing'!F$56,0)</f>
      </c>
      <c r="AV59" s="270">
        <f>IF(AV$53&lt;='Pricing'!F$4,'Pricing'!F$56,0)</f>
      </c>
      <c r="AW59" s="270">
        <f>IF(AW$53&lt;='Pricing'!F$4,'Pricing'!F$56,0)</f>
      </c>
      <c r="AX59" s="270">
        <f>IF(AX$53&lt;='Pricing'!F$4,'Pricing'!F$56,0)</f>
      </c>
      <c r="AY59" s="270">
        <f>IF(AY$53&lt;='Pricing'!F$4,'Pricing'!F$56,0)</f>
      </c>
      <c r="AZ59" s="270">
        <f>IF(AZ$53&lt;='Pricing'!F$4,'Pricing'!F$56,0)</f>
      </c>
      <c r="BA59" s="270">
        <f>IF(BA$53&lt;='Pricing'!F$4,'Pricing'!F$56,0)</f>
      </c>
      <c r="BB59" s="270">
        <f>IF(BB$53&lt;='Pricing'!F$4,'Pricing'!F$56,0)</f>
      </c>
      <c r="BC59" s="270">
        <f>IF(BC$53&lt;='Pricing'!F$4,'Pricing'!F$56,0)</f>
      </c>
      <c r="BD59" s="270">
        <f>IF(BD$53&lt;='Pricing'!F$4,'Pricing'!F$56,0)</f>
      </c>
      <c r="BE59" s="270">
        <f>IF(BE$53&lt;='Pricing'!F$4,'Pricing'!F$56,0)</f>
      </c>
      <c r="BF59" s="270">
        <f>IF(BF$53&lt;='Pricing'!F$4,'Pricing'!F$56,0)</f>
      </c>
      <c r="BG59" s="270">
        <f>IF(BG$53&lt;='Pricing'!F$4,'Pricing'!F$56,0)</f>
      </c>
      <c r="BH59" s="270">
        <f>IF(BH$53&lt;='Pricing'!F$4,'Pricing'!F$56,0)</f>
      </c>
      <c r="BI59" s="270">
        <f>IF(BI$53&lt;='Pricing'!F$4,'Pricing'!F$56,0)</f>
      </c>
      <c r="BJ59" s="270">
        <f>IF(BJ$53&lt;='Pricing'!F$4,'Pricing'!F$56,0)</f>
      </c>
    </row>
    <row r="60" spans="2:62" ht="15" customHeight="1" x14ac:dyDescent="0.2">
      <c r="B60" s="264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269"/>
      <c r="BB60" s="269"/>
      <c r="BC60" s="269"/>
      <c r="BD60" s="269"/>
      <c r="BE60" s="269"/>
      <c r="BF60" s="269"/>
      <c r="BG60" s="269"/>
      <c r="BH60" s="269"/>
      <c r="BI60" s="269"/>
      <c r="BJ60" s="269"/>
    </row>
    <row r="61" spans="2:62" ht="15" customHeight="1" x14ac:dyDescent="0.2">
      <c r="B61" s="271" t="s">
        <v>129</v>
      </c>
      <c r="C61" s="272">
        <f>C59</f>
      </c>
      <c r="D61" s="272">
        <f>SUM($C59:D59)</f>
      </c>
      <c r="E61" s="272">
        <f>SUM($C59:E59)</f>
      </c>
      <c r="F61" s="272">
        <f>SUM($C59:F59)</f>
      </c>
      <c r="G61" s="272">
        <f>SUM($C59:G59)</f>
      </c>
      <c r="H61" s="272">
        <f>SUM($C59:H59)</f>
      </c>
      <c r="I61" s="272">
        <f>SUM($C59:I59)</f>
      </c>
      <c r="J61" s="272">
        <f>SUM($C59:J59)</f>
      </c>
      <c r="K61" s="272">
        <f>SUM($C59:K59)</f>
      </c>
      <c r="L61" s="272">
        <f>SUM($C59:L59)</f>
      </c>
      <c r="M61" s="272">
        <f>SUM($C59:M59)</f>
      </c>
      <c r="N61" s="272">
        <f>SUM($C59:N59)</f>
      </c>
      <c r="O61" s="272">
        <f>SUM($C59:O59)</f>
      </c>
      <c r="P61" s="272">
        <f>SUM($C59:P59)</f>
      </c>
      <c r="Q61" s="272">
        <f>SUM($C59:Q59)</f>
      </c>
      <c r="R61" s="272">
        <f>SUM($C59:R59)</f>
      </c>
      <c r="S61" s="272">
        <f>SUM($C59:S59)</f>
      </c>
      <c r="T61" s="272">
        <f>SUM($C59:T59)</f>
      </c>
      <c r="U61" s="272">
        <f>SUM($C59:U59)</f>
      </c>
      <c r="V61" s="272">
        <f>SUM($C59:V59)</f>
      </c>
      <c r="W61" s="272">
        <f>SUM($C59:W59)</f>
      </c>
      <c r="X61" s="272">
        <f>SUM($C59:X59)</f>
      </c>
      <c r="Y61" s="272">
        <f>SUM($C59:Y59)</f>
      </c>
      <c r="Z61" s="272">
        <f>SUM($C59:Z59)</f>
      </c>
      <c r="AA61" s="272">
        <f>SUM($C59:AA59)</f>
      </c>
      <c r="AB61" s="272">
        <f>SUM($C59:AB59)</f>
      </c>
      <c r="AC61" s="272">
        <f>SUM($C59:AC59)</f>
      </c>
      <c r="AD61" s="272">
        <f>SUM($C59:AD59)</f>
      </c>
      <c r="AE61" s="272">
        <f>SUM($C59:AE59)</f>
      </c>
      <c r="AF61" s="272">
        <f>SUM($C59:AF59)</f>
      </c>
      <c r="AG61" s="272">
        <f>SUM($C59:AG59)</f>
      </c>
      <c r="AH61" s="272">
        <f>SUM($C59:AH59)</f>
      </c>
      <c r="AI61" s="272">
        <f>SUM($C59:AI59)</f>
      </c>
      <c r="AJ61" s="272">
        <f>SUM($C59:AJ59)</f>
      </c>
      <c r="AK61" s="272">
        <f>SUM($C59:AK59)</f>
      </c>
      <c r="AL61" s="272">
        <f>SUM($C59:AL59)</f>
      </c>
      <c r="AM61" s="272">
        <f>SUM($C59:AM59)</f>
      </c>
      <c r="AN61" s="272">
        <f>SUM($C59:AN59)</f>
      </c>
      <c r="AO61" s="272">
        <f>SUM($C59:AO59)</f>
      </c>
      <c r="AP61" s="272">
        <f>SUM($C59:AP59)</f>
      </c>
      <c r="AQ61" s="272">
        <f>SUM($C59:AQ59)</f>
      </c>
      <c r="AR61" s="272">
        <f>SUM($C59:AR59)</f>
      </c>
      <c r="AS61" s="272">
        <f>SUM($C59:AS59)</f>
      </c>
      <c r="AT61" s="272">
        <f>SUM($C59:AT59)</f>
      </c>
      <c r="AU61" s="272">
        <f>SUM($C59:AU59)</f>
      </c>
      <c r="AV61" s="272">
        <f>SUM($C59:AV59)</f>
      </c>
      <c r="AW61" s="272">
        <f>SUM($C59:AW59)</f>
      </c>
      <c r="AX61" s="272">
        <f>SUM($C59:AX59)</f>
      </c>
      <c r="AY61" s="272">
        <f>SUM($C59:AY59)</f>
      </c>
      <c r="AZ61" s="272">
        <f>SUM($C59:AZ59)</f>
      </c>
      <c r="BA61" s="272">
        <f>SUM($C59:BA59)</f>
      </c>
      <c r="BB61" s="272">
        <f>SUM($C59:BB59)</f>
      </c>
      <c r="BC61" s="272">
        <f>SUM($C59:BC59)</f>
      </c>
      <c r="BD61" s="272">
        <f>SUM($C59:BD59)</f>
      </c>
      <c r="BE61" s="272">
        <f>SUM($C59:BE59)</f>
      </c>
      <c r="BF61" s="272">
        <f>SUM($C59:BF59)</f>
      </c>
      <c r="BG61" s="272">
        <f>SUM($C59:BG59)</f>
      </c>
      <c r="BH61" s="272">
        <f>SUM($C59:BH59)</f>
      </c>
      <c r="BI61" s="272">
        <f>SUM($C59:BI59)</f>
      </c>
      <c r="BJ61" s="272">
        <f>SUM($C59:BJ59)</f>
      </c>
    </row>
    <row r="62" spans="2:62" ht="15" customHeight="1" x14ac:dyDescent="0.2">
      <c r="B62" s="267"/>
      <c r="C62" s="264"/>
      <c r="D62" s="273">
        <f>IF(AND(C61&lt;0,D61&gt;=0,D59&gt;0),-C61/D59,"n/m")</f>
      </c>
      <c r="E62" s="273">
        <f>IF(AND(D61&lt;0,E61&gt;=0,E59&gt;0),-D61/E59,"n/m")</f>
      </c>
      <c r="F62" s="273">
        <f>IF(AND(E61&lt;0,F61&gt;=0,F59&gt;0),-E61/F59,"n/m")</f>
      </c>
      <c r="G62" s="273">
        <f>IF(AND(F61&lt;0,G61&gt;=0,G59&gt;0),-F61/G59,"n/m")</f>
      </c>
      <c r="H62" s="273">
        <f>IF(AND(G61&lt;0,H61&gt;=0,H59&gt;0),-G61/H59,"n/m")</f>
      </c>
      <c r="I62" s="273">
        <f>IF(AND(H61&lt;0,I61&gt;=0,I59&gt;0),-H61/I59,"n/m")</f>
      </c>
      <c r="J62" s="273">
        <f>IF(AND(I61&lt;0,J61&gt;=0,J59&gt;0),-I61/J59,"n/m")</f>
      </c>
      <c r="K62" s="273">
        <f>IF(AND(J61&lt;0,K61&gt;=0,K59&gt;0),-J61/K59,"n/m")</f>
      </c>
      <c r="L62" s="273">
        <f>IF(AND(K61&lt;0,L61&gt;=0,L59&gt;0),-K61/L59,"n/m")</f>
      </c>
      <c r="M62" s="273">
        <f>IF(AND(L61&lt;0,M61&gt;=0,M59&gt;0),-L61/M59,"n/m")</f>
      </c>
      <c r="N62" s="273">
        <f>IF(AND(M61&lt;0,N61&gt;=0,N59&gt;0),-M61/N59,"n/m")</f>
      </c>
      <c r="O62" s="273">
        <f>IF(AND(N61&lt;0,O61&gt;=0,O59&gt;0),-N61/O59,"n/m")</f>
      </c>
      <c r="P62" s="273">
        <f>IF(AND(O61&lt;0,P61&gt;=0,P59&gt;0),-O61/P59,"n/m")</f>
      </c>
      <c r="Q62" s="273">
        <f>IF(AND(P61&lt;0,Q61&gt;=0,Q59&gt;0),-P61/Q59,"n/m")</f>
      </c>
      <c r="R62" s="273">
        <f>IF(AND(Q61&lt;0,R61&gt;=0,R59&gt;0),-Q61/R59,"n/m")</f>
      </c>
      <c r="S62" s="273">
        <f>IF(AND(R61&lt;0,S61&gt;=0,S59&gt;0),-R61/S59,"n/m")</f>
      </c>
      <c r="T62" s="273">
        <f>IF(AND(S61&lt;0,T61&gt;=0,T59&gt;0),-S61/T59,"n/m")</f>
      </c>
      <c r="U62" s="273">
        <f>IF(AND(T61&lt;0,U61&gt;=0,U59&gt;0),-T61/U59,"n/m")</f>
      </c>
      <c r="V62" s="273">
        <f>IF(AND(U61&lt;0,V61&gt;=0,V59&gt;0),-U61/V59,"n/m")</f>
      </c>
      <c r="W62" s="273">
        <f>IF(AND(V61&lt;0,W61&gt;=0,W59&gt;0),-V61/W59,"n/m")</f>
      </c>
      <c r="X62" s="273">
        <f>IF(AND(W61&lt;0,X61&gt;=0,X59&gt;0),-W61/X59,"n/m")</f>
      </c>
      <c r="Y62" s="273">
        <f>IF(AND(X61&lt;0,Y61&gt;=0,Y59&gt;0),-X61/Y59,"n/m")</f>
      </c>
      <c r="Z62" s="273">
        <f>IF(AND(Y61&lt;0,Z61&gt;=0,Z59&gt;0),-Y61/Z59,"n/m")</f>
      </c>
      <c r="AA62" s="273">
        <f>IF(AND(Z61&lt;0,AA61&gt;=0,AA59&gt;0),-Z61/AA59,"n/m")</f>
      </c>
      <c r="AB62" s="273">
        <f>IF(AND(AA61&lt;0,AB61&gt;=0,AB59&gt;0),-AA61/AB59,"n/m")</f>
      </c>
      <c r="AC62" s="273">
        <f>IF(AND(AB61&lt;0,AC61&gt;=0,AC59&gt;0),-AB61/AC59,"n/m")</f>
      </c>
      <c r="AD62" s="273">
        <f>IF(AND(AC61&lt;0,AD61&gt;=0,AD59&gt;0),-AC61/AD59,"n/m")</f>
      </c>
      <c r="AE62" s="273">
        <f>IF(AND(AD61&lt;0,AE61&gt;=0,AE59&gt;0),-AD61/AE59,"n/m")</f>
      </c>
      <c r="AF62" s="273">
        <f>IF(AND(AE61&lt;0,AF61&gt;=0,AF59&gt;0),-AE61/AF59,"n/m")</f>
      </c>
      <c r="AG62" s="273">
        <f>IF(AND(AF61&lt;0,AG61&gt;=0,AG59&gt;0),-AF61/AG59,"n/m")</f>
      </c>
      <c r="AH62" s="273">
        <f>IF(AND(AG61&lt;0,AH61&gt;=0,AH59&gt;0),-AG61/AH59,"n/m")</f>
      </c>
      <c r="AI62" s="273">
        <f>IF(AND(AH61&lt;0,AI61&gt;=0,AI59&gt;0),-AH61/AI59,"n/m")</f>
      </c>
      <c r="AJ62" s="273">
        <f>IF(AND(AI61&lt;0,AJ61&gt;=0,AJ59&gt;0),-AI61/AJ59,"n/m")</f>
      </c>
      <c r="AK62" s="273">
        <f>IF(AND(AJ61&lt;0,AK61&gt;=0,AK59&gt;0),-AJ61/AK59,"n/m")</f>
      </c>
      <c r="AL62" s="273">
        <f>IF(AND(AK61&lt;0,AL61&gt;=0,AL59&gt;0),-AK61/AL59,"n/m")</f>
      </c>
      <c r="AM62" s="273">
        <f>IF(AND(AL61&lt;0,AM61&gt;=0,AM59&gt;0),-AL61/AM59,"n/m")</f>
      </c>
      <c r="AN62" s="273">
        <f>IF(AND(AM61&lt;0,AN61&gt;=0,AN59&gt;0),-AM61/AN59,"n/m")</f>
      </c>
      <c r="AO62" s="273">
        <f>IF(AND(AN61&lt;0,AO61&gt;=0,AO59&gt;0),-AN61/AO59,"n/m")</f>
      </c>
      <c r="AP62" s="273">
        <f>IF(AND(AO61&lt;0,AP61&gt;=0,AP59&gt;0),-AO61/AP59,"n/m")</f>
      </c>
      <c r="AQ62" s="273">
        <f>IF(AND(AP61&lt;0,AQ61&gt;=0,AQ59&gt;0),-AP61/AQ59,"n/m")</f>
      </c>
      <c r="AR62" s="273">
        <f>IF(AND(AQ61&lt;0,AR61&gt;=0,AR59&gt;0),-AQ61/AR59,"n/m")</f>
      </c>
      <c r="AS62" s="273">
        <f>IF(AND(AR61&lt;0,AS61&gt;=0,AS59&gt;0),-AR61/AS59,"n/m")</f>
      </c>
      <c r="AT62" s="273">
        <f>IF(AND(AS61&lt;0,AT61&gt;=0,AT59&gt;0),-AS61/AT59,"n/m")</f>
      </c>
      <c r="AU62" s="273">
        <f>IF(AND(AT61&lt;0,AU61&gt;=0,AU59&gt;0),-AT61/AU59,"n/m")</f>
      </c>
      <c r="AV62" s="273">
        <f>IF(AND(AU61&lt;0,AV61&gt;=0,AV59&gt;0),-AU61/AV59,"n/m")</f>
      </c>
      <c r="AW62" s="273">
        <f>IF(AND(AV61&lt;0,AW61&gt;=0,AW59&gt;0),-AV61/AW59,"n/m")</f>
      </c>
      <c r="AX62" s="273">
        <f>IF(AND(AW61&lt;0,AX61&gt;=0,AX59&gt;0),-AW61/AX59,"n/m")</f>
      </c>
      <c r="AY62" s="273">
        <f>IF(AND(AX61&lt;0,AY61&gt;=0,AY59&gt;0),-AX61/AY59,"n/m")</f>
      </c>
      <c r="AZ62" s="273">
        <f>IF(AND(AY61&lt;0,AZ61&gt;=0,AZ59&gt;0),-AY61/AZ59,"n/m")</f>
      </c>
      <c r="BA62" s="273">
        <f>IF(AND(AZ61&lt;0,BA61&gt;=0,BA59&gt;0),-AZ61/BA59,"n/m")</f>
      </c>
      <c r="BB62" s="273">
        <f>IF(AND(BA61&lt;0,BB61&gt;=0,BB59&gt;0),-BA61/BB59,"n/m")</f>
      </c>
      <c r="BC62" s="273">
        <f>IF(AND(BB61&lt;0,BC61&gt;=0,BC59&gt;0),-BB61/BC59,"n/m")</f>
      </c>
      <c r="BD62" s="273">
        <f>IF(AND(BC61&lt;0,BD61&gt;=0,BD59&gt;0),-BC61/BD59,"n/m")</f>
      </c>
      <c r="BE62" s="273">
        <f>IF(AND(BD61&lt;0,BE61&gt;=0,BE59&gt;0),-BD61/BE59,"n/m")</f>
      </c>
      <c r="BF62" s="273">
        <f>IF(AND(BE61&lt;0,BF61&gt;=0,BF59&gt;0),-BE61/BF59,"n/m")</f>
      </c>
      <c r="BG62" s="273">
        <f>IF(AND(BF61&lt;0,BG61&gt;=0,BG59&gt;0),-BF61/BG59,"n/m")</f>
      </c>
      <c r="BH62" s="273">
        <f>IF(AND(BG61&lt;0,BH61&gt;=0,BH59&gt;0),-BG61/BH59,"n/m")</f>
      </c>
      <c r="BI62" s="273">
        <f>IF(AND(BH61&lt;0,BI61&gt;=0,BI59&gt;0),-BH61/BI59,"n/m")</f>
      </c>
      <c r="BJ62" s="273">
        <f>IF(AND(BI61&lt;0,BJ61&gt;=0,BJ59&gt;0),-BI61/BJ59,"n/m")</f>
      </c>
    </row>
    <row r="63" spans="2:62" ht="15" customHeight="1" x14ac:dyDescent="0.2">
      <c r="B63" s="264"/>
      <c r="C63" s="264"/>
      <c r="E63" s="264"/>
      <c r="F63" s="264"/>
      <c r="G63" s="264"/>
      <c r="H63" s="274"/>
      <c r="I63" s="264"/>
      <c r="J63" s="264"/>
    </row>
    <row r="64" spans="2:62" ht="15" customHeight="1" x14ac:dyDescent="0.2">
      <c r="B64" s="264"/>
      <c r="C64" s="264"/>
      <c r="D64" s="264"/>
      <c r="E64" s="264"/>
      <c r="F64" s="264"/>
      <c r="G64" s="264"/>
      <c r="H64" s="274"/>
      <c r="I64" s="264"/>
      <c r="J64" s="264"/>
    </row>
    <row r="65" spans="2:62" ht="15" customHeight="1" x14ac:dyDescent="0.2">
      <c r="B65" s="267" t="s">
        <v>130</v>
      </c>
      <c r="C65" s="275">
        <f>IF(C58&lt;=0,0,IF(AND('Pricing'!F56&gt;0,C58&lt;='Pricing'!F56*'Pricing'!F4),C58/'Pricing'!F56,"n/m"))</f>
      </c>
      <c r="E65" s="264"/>
      <c r="F65" s="264"/>
      <c r="G65" s="264"/>
      <c r="H65" s="264"/>
      <c r="I65" s="264"/>
      <c r="J65" s="264"/>
    </row>
    <row r="66" spans="2:62" ht="15" customHeight="1" x14ac:dyDescent="0.2">
      <c r="B66" s="264"/>
      <c r="C66" s="264"/>
      <c r="D66" s="264"/>
      <c r="E66" s="264"/>
      <c r="F66" s="264"/>
      <c r="G66" s="264"/>
      <c r="H66" s="264"/>
      <c r="I66" s="264"/>
      <c r="J66" s="264"/>
    </row>
    <row r="67" spans="2:62" ht="15" customHeight="1" x14ac:dyDescent="0.2">
      <c r="B67" s="264"/>
      <c r="C67" s="264"/>
      <c r="D67" s="264"/>
      <c r="E67" s="264"/>
      <c r="F67" s="264"/>
      <c r="G67" s="264"/>
      <c r="H67" s="264"/>
      <c r="I67" s="264"/>
      <c r="J67" s="264"/>
    </row>
    <row r="68" spans="2:62" ht="15" customHeight="1" x14ac:dyDescent="0.2">
      <c r="B68" s="276" t="s">
        <v>131</v>
      </c>
      <c r="C68" s="264"/>
      <c r="D68" s="264"/>
      <c r="E68" s="264"/>
      <c r="F68" s="264"/>
      <c r="G68" s="264"/>
      <c r="H68" s="264"/>
      <c r="I68" s="264"/>
      <c r="J68" s="264"/>
    </row>
    <row r="69" spans="2:62" ht="15" customHeight="1" x14ac:dyDescent="0.2">
      <c r="B69" s="267" t="s">
        <v>132</v>
      </c>
      <c r="C69" s="277">
        <f>IF(ISNUMBER(C65),INT(C65),"n/m")</f>
      </c>
      <c r="E69" s="264"/>
      <c r="F69" s="264"/>
      <c r="G69" s="264"/>
      <c r="H69" s="264"/>
      <c r="I69" s="264"/>
      <c r="J69" s="264"/>
    </row>
    <row r="70" spans="2:62" ht="15" customHeight="1" x14ac:dyDescent="0.2">
      <c r="B70" s="267" t="s">
        <v>133</v>
      </c>
      <c r="C70" s="277">
        <f>IF(ISNUMBER(C65),MOD(C65,1),"n/m")</f>
      </c>
      <c r="E70" s="264"/>
      <c r="F70" s="264"/>
      <c r="G70" s="264"/>
      <c r="H70" s="264"/>
      <c r="I70" s="264"/>
      <c r="J70" s="264"/>
    </row>
    <row r="71" spans="2:62" ht="15" customHeight="1" x14ac:dyDescent="0.2">
      <c r="B71" s="264"/>
      <c r="C71" s="264"/>
      <c r="D71" s="264"/>
      <c r="E71" s="264"/>
      <c r="F71" s="264"/>
      <c r="G71" s="264"/>
      <c r="H71" s="264"/>
      <c r="I71" s="264"/>
      <c r="J71" s="264"/>
    </row>
    <row r="72" spans="2:62" ht="15" customHeight="1" x14ac:dyDescent="0.2">
      <c r="B72" s="264"/>
      <c r="C72" s="264"/>
      <c r="D72" s="264"/>
      <c r="E72" s="264"/>
      <c r="F72" s="264"/>
      <c r="G72" s="264"/>
      <c r="H72" s="264"/>
      <c r="I72" s="264"/>
      <c r="J72" s="264"/>
    </row>
    <row r="73" spans="2:62" ht="15" customHeight="1" x14ac:dyDescent="0.2">
      <c r="B73" s="278" t="s">
        <v>134</v>
      </c>
      <c r="C73" s="278"/>
      <c r="D73" s="278"/>
      <c r="E73" s="278"/>
      <c r="F73" s="278"/>
      <c r="G73" s="278"/>
      <c r="H73" s="278"/>
      <c r="I73" s="278"/>
      <c r="J73" s="267"/>
    </row>
    <row r="74" spans="2:62" ht="15" customHeight="1" x14ac:dyDescent="0.2">
      <c r="B74" s="267" t="s">
        <v>130</v>
      </c>
      <c r="C74" s="279">
        <f>C65</f>
      </c>
      <c r="D74" s="264"/>
    </row>
    <row r="75" spans="2:62" ht="15" customHeight="1" x14ac:dyDescent="0.2">
      <c r="B75" s="264"/>
      <c r="D75" s="264"/>
      <c r="E75" s="264"/>
      <c r="F75" s="264"/>
      <c r="G75" s="264"/>
      <c r="H75" s="264"/>
      <c r="I75" s="264"/>
      <c r="J75" s="264"/>
    </row>
    <row r="76" spans="2:62" ht="15" customHeight="1" x14ac:dyDescent="0.2">
      <c r="B76" s="264"/>
      <c r="D76" s="264"/>
      <c r="E76" s="264"/>
      <c r="F76" s="264"/>
      <c r="G76" s="264"/>
      <c r="H76" s="264"/>
      <c r="I76" s="264"/>
      <c r="J76" s="264"/>
    </row>
    <row r="79" spans="2:62" s="280" customFormat="1" ht="30.75" customHeight="1" x14ac:dyDescent="0.2">
      <c r="B79" s="281" t="s">
        <v>17</v>
      </c>
      <c r="C79" s="282">
        <v>0</v>
      </c>
      <c r="D79" s="282">
        <f>C79+1</f>
      </c>
      <c r="E79" s="282">
        <f>D79+1</f>
      </c>
      <c r="F79" s="282">
        <f>E79+1</f>
      </c>
      <c r="G79" s="282">
        <f>F79+1</f>
      </c>
      <c r="H79" s="282">
        <f>G79+1</f>
      </c>
      <c r="I79" s="282">
        <f>H79+1</f>
      </c>
      <c r="J79" s="282">
        <f>I79+1</f>
      </c>
      <c r="K79" s="282">
        <f>J79+1</f>
      </c>
      <c r="L79" s="282">
        <f>K79+1</f>
      </c>
      <c r="M79" s="282">
        <f>L79+1</f>
      </c>
      <c r="N79" s="282">
        <f>M79+1</f>
      </c>
      <c r="O79" s="282">
        <f>N79+1</f>
      </c>
      <c r="P79" s="282">
        <f>O79+1</f>
      </c>
      <c r="Q79" s="282">
        <f>P79+1</f>
      </c>
      <c r="R79" s="282">
        <f>Q79+1</f>
      </c>
      <c r="S79" s="282">
        <f>R79+1</f>
      </c>
      <c r="T79" s="282">
        <f>S79+1</f>
      </c>
      <c r="U79" s="282">
        <f>T79+1</f>
      </c>
      <c r="V79" s="282">
        <f>U79+1</f>
      </c>
      <c r="W79" s="282">
        <f>V79+1</f>
      </c>
      <c r="X79" s="282">
        <f>W79+1</f>
      </c>
      <c r="Y79" s="282">
        <f>X79+1</f>
      </c>
      <c r="Z79" s="282">
        <f>Y79+1</f>
      </c>
      <c r="AA79" s="282">
        <f>Z79+1</f>
      </c>
      <c r="AB79" s="282">
        <f>AA79+1</f>
      </c>
      <c r="AC79" s="282">
        <f>AB79+1</f>
      </c>
      <c r="AD79" s="282">
        <f>AC79+1</f>
      </c>
      <c r="AE79" s="282">
        <f>AD79+1</f>
      </c>
      <c r="AF79" s="282">
        <f>AE79+1</f>
      </c>
      <c r="AG79" s="282">
        <f>AF79+1</f>
      </c>
      <c r="AH79" s="282">
        <f>AG79+1</f>
      </c>
      <c r="AI79" s="282">
        <f>AH79+1</f>
      </c>
      <c r="AJ79" s="282">
        <f>AI79+1</f>
      </c>
      <c r="AK79" s="282">
        <f>AJ79+1</f>
      </c>
      <c r="AL79" s="282">
        <f>AK79+1</f>
      </c>
      <c r="AM79" s="282">
        <f>AL79+1</f>
      </c>
      <c r="AN79" s="282">
        <f>AM79+1</f>
      </c>
      <c r="AO79" s="282">
        <f>AN79+1</f>
      </c>
      <c r="AP79" s="282">
        <f>AO79+1</f>
      </c>
      <c r="AQ79" s="282">
        <f>AP79+1</f>
      </c>
      <c r="AR79" s="282">
        <f>AQ79+1</f>
      </c>
      <c r="AS79" s="282">
        <f>AR79+1</f>
      </c>
      <c r="AT79" s="282">
        <f>AS79+1</f>
      </c>
      <c r="AU79" s="282">
        <f>AT79+1</f>
      </c>
      <c r="AV79" s="282">
        <f>AU79+1</f>
      </c>
      <c r="AW79" s="282">
        <f>AV79+1</f>
      </c>
      <c r="AX79" s="282">
        <f>AW79+1</f>
      </c>
      <c r="AY79" s="282">
        <f>AX79+1</f>
      </c>
      <c r="AZ79" s="282">
        <f>AY79+1</f>
      </c>
      <c r="BA79" s="282">
        <f>AZ79+1</f>
      </c>
      <c r="BB79" s="282">
        <f>BA79+1</f>
      </c>
      <c r="BC79" s="282">
        <f>BB79+1</f>
      </c>
      <c r="BD79" s="282">
        <f>BC79+1</f>
      </c>
      <c r="BE79" s="282">
        <f>BD79+1</f>
      </c>
      <c r="BF79" s="282">
        <f>BE79+1</f>
      </c>
      <c r="BG79" s="282">
        <f>BF79+1</f>
      </c>
      <c r="BH79" s="282">
        <f>BG79+1</f>
      </c>
      <c r="BI79" s="282">
        <f>BH79+1</f>
      </c>
      <c r="BJ79" s="282">
        <f>BI79+1</f>
      </c>
    </row>
    <row r="80" spans="2:62" s="280" customFormat="1" ht="15" customHeight="1" x14ac:dyDescent="0.2">
      <c r="B80" s="283" t="s">
        <v>125</v>
      </c>
      <c r="C80" s="284" t="s">
        <v>20</v>
      </c>
      <c r="D80" s="295">
        <f>SUM(Pricing!G56)</f>
      </c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5"/>
      <c r="AW80" s="285"/>
      <c r="AX80" s="285"/>
      <c r="AY80" s="285"/>
      <c r="AZ80" s="285"/>
      <c r="BA80" s="285"/>
      <c r="BB80" s="285"/>
      <c r="BC80" s="285"/>
      <c r="BD80" s="285"/>
      <c r="BE80" s="285"/>
      <c r="BF80" s="285"/>
      <c r="BG80" s="285"/>
      <c r="BH80" s="285"/>
      <c r="BI80" s="285"/>
      <c r="BJ80" s="285"/>
    </row>
    <row r="81" spans="2:62" s="280" customFormat="1" ht="15" customHeight="1" x14ac:dyDescent="0.2">
      <c r="B81" s="283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  <c r="AL81" s="285"/>
      <c r="AM81" s="285"/>
      <c r="AN81" s="285"/>
      <c r="AO81" s="285"/>
      <c r="AP81" s="285"/>
      <c r="AQ81" s="285"/>
      <c r="AR81" s="285"/>
      <c r="AS81" s="285"/>
      <c r="AT81" s="285"/>
      <c r="AU81" s="285"/>
      <c r="AV81" s="285"/>
      <c r="AW81" s="285"/>
      <c r="AX81" s="285"/>
      <c r="AY81" s="285"/>
      <c r="AZ81" s="285"/>
      <c r="BA81" s="285"/>
      <c r="BB81" s="285"/>
      <c r="BC81" s="285"/>
      <c r="BD81" s="285"/>
      <c r="BE81" s="285"/>
      <c r="BF81" s="285"/>
      <c r="BG81" s="285"/>
      <c r="BH81" s="285"/>
      <c r="BI81" s="285"/>
      <c r="BJ81" s="285"/>
    </row>
    <row r="82" spans="2:62" s="280" customFormat="1" ht="15" customHeight="1" x14ac:dyDescent="0.2">
      <c r="B82" s="283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85"/>
      <c r="AG82" s="285"/>
      <c r="AH82" s="285"/>
      <c r="AI82" s="285"/>
      <c r="AJ82" s="285"/>
      <c r="AK82" s="285"/>
      <c r="AL82" s="285"/>
      <c r="AM82" s="285"/>
      <c r="AN82" s="285"/>
      <c r="AO82" s="285"/>
      <c r="AP82" s="285"/>
      <c r="AQ82" s="285"/>
      <c r="AR82" s="285"/>
      <c r="AS82" s="285"/>
      <c r="AT82" s="285"/>
      <c r="AU82" s="285"/>
      <c r="AV82" s="285"/>
      <c r="AW82" s="285"/>
      <c r="AX82" s="285"/>
      <c r="AY82" s="285"/>
      <c r="AZ82" s="285"/>
      <c r="BA82" s="285"/>
      <c r="BB82" s="285"/>
      <c r="BC82" s="285"/>
      <c r="BD82" s="285"/>
      <c r="BE82" s="285"/>
      <c r="BF82" s="285"/>
      <c r="BG82" s="285"/>
      <c r="BH82" s="285"/>
      <c r="BI82" s="285"/>
      <c r="BJ82" s="285"/>
    </row>
    <row r="83" spans="2:62" s="280" customFormat="1" ht="15" customHeight="1" x14ac:dyDescent="0.2">
      <c r="B83" s="283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85"/>
      <c r="AM83" s="285"/>
      <c r="AN83" s="285"/>
      <c r="AO83" s="285"/>
      <c r="AP83" s="285"/>
      <c r="AQ83" s="285"/>
      <c r="AR83" s="285"/>
      <c r="AS83" s="285"/>
      <c r="AT83" s="285"/>
      <c r="AU83" s="285"/>
      <c r="AV83" s="285"/>
      <c r="AW83" s="285"/>
      <c r="AX83" s="285"/>
      <c r="AY83" s="285"/>
      <c r="AZ83" s="285"/>
      <c r="BA83" s="285"/>
      <c r="BB83" s="285"/>
      <c r="BC83" s="285"/>
      <c r="BD83" s="285"/>
      <c r="BE83" s="285"/>
      <c r="BF83" s="285"/>
      <c r="BG83" s="285"/>
      <c r="BH83" s="285"/>
      <c r="BI83" s="285"/>
      <c r="BJ83" s="285"/>
    </row>
    <row r="84" spans="2:62" s="280" customFormat="1" ht="15" customHeight="1" x14ac:dyDescent="0.2">
      <c r="B84" s="283" t="s">
        <v>127</v>
      </c>
      <c r="C84" s="266">
        <f>'Pricing'!G52-'Pricing'!G7-'Pricing'!G100</f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6"/>
      <c r="AU84" s="286"/>
      <c r="AV84" s="286"/>
      <c r="AW84" s="286"/>
      <c r="AX84" s="286"/>
      <c r="AY84" s="286"/>
      <c r="AZ84" s="286"/>
      <c r="BA84" s="286"/>
      <c r="BB84" s="286"/>
      <c r="BC84" s="286"/>
      <c r="BD84" s="286"/>
      <c r="BE84" s="286"/>
      <c r="BF84" s="286"/>
      <c r="BG84" s="286"/>
      <c r="BH84" s="286"/>
      <c r="BI84" s="286"/>
      <c r="BJ84" s="286"/>
    </row>
    <row r="85" spans="2:62" ht="15" customHeight="1" x14ac:dyDescent="0.2">
      <c r="B85" s="264" t="s">
        <v>128</v>
      </c>
      <c r="C85" s="269">
        <f>-C84</f>
      </c>
      <c r="D85" s="270">
        <f>IF(D$79&lt;='Pricing'!G$4,'Pricing'!G$56,0)</f>
      </c>
      <c r="E85" s="270">
        <f>IF(E$79&lt;='Pricing'!G$4,'Pricing'!G$56,0)</f>
      </c>
      <c r="F85" s="270">
        <f>IF(F$79&lt;='Pricing'!G$4,'Pricing'!G$56,0)</f>
      </c>
      <c r="G85" s="270">
        <f>IF(G$79&lt;='Pricing'!G$4,'Pricing'!G$56,0)</f>
      </c>
      <c r="H85" s="270">
        <f>IF(H$79&lt;='Pricing'!G$4,'Pricing'!G$56,0)</f>
      </c>
      <c r="I85" s="270">
        <f>IF(I$79&lt;='Pricing'!G$4,'Pricing'!G$56,0)</f>
      </c>
      <c r="J85" s="270">
        <f>IF(J$79&lt;='Pricing'!G$4,'Pricing'!G$56,0)</f>
      </c>
      <c r="K85" s="270">
        <f>IF(K$79&lt;='Pricing'!G$4,'Pricing'!G$56,0)</f>
      </c>
      <c r="L85" s="270">
        <f>IF(L$79&lt;='Pricing'!G$4,'Pricing'!G$56,0)</f>
      </c>
      <c r="M85" s="270">
        <f>IF(M$79&lt;='Pricing'!G$4,'Pricing'!G$56,0)</f>
      </c>
      <c r="N85" s="270">
        <f>IF(N$79&lt;='Pricing'!G$4,'Pricing'!G$56,0)</f>
      </c>
      <c r="O85" s="270">
        <f>IF(O$79&lt;='Pricing'!G$4,'Pricing'!G$56,0)</f>
      </c>
      <c r="P85" s="270">
        <f>IF(P$79&lt;='Pricing'!G$4,'Pricing'!G$56,0)</f>
      </c>
      <c r="Q85" s="270">
        <f>IF(Q$79&lt;='Pricing'!G$4,'Pricing'!G$56,0)</f>
      </c>
      <c r="R85" s="270">
        <f>IF(R$79&lt;='Pricing'!G$4,'Pricing'!G$56,0)</f>
      </c>
      <c r="S85" s="270">
        <f>IF(S$79&lt;='Pricing'!G$4,'Pricing'!G$56,0)</f>
      </c>
      <c r="T85" s="270">
        <f>IF(T$79&lt;='Pricing'!G$4,'Pricing'!G$56,0)</f>
      </c>
      <c r="U85" s="270">
        <f>IF(U$79&lt;='Pricing'!G$4,'Pricing'!G$56,0)</f>
      </c>
      <c r="V85" s="270">
        <f>IF(V$79&lt;='Pricing'!G$4,'Pricing'!G$56,0)</f>
      </c>
      <c r="W85" s="270">
        <f>IF(W$79&lt;='Pricing'!G$4,'Pricing'!G$56,0)</f>
      </c>
      <c r="X85" s="270">
        <f>IF(X$79&lt;='Pricing'!G$4,'Pricing'!G$56,0)</f>
      </c>
      <c r="Y85" s="270">
        <f>IF(Y$79&lt;='Pricing'!G$4,'Pricing'!G$56,0)</f>
      </c>
      <c r="Z85" s="270">
        <f>IF(Z$79&lt;='Pricing'!G$4,'Pricing'!G$56,0)</f>
      </c>
      <c r="AA85" s="270">
        <f>IF(AA$79&lt;='Pricing'!G$4,'Pricing'!G$56,0)</f>
      </c>
      <c r="AB85" s="270">
        <f>IF(AB$79&lt;='Pricing'!G$4,'Pricing'!G$56,0)</f>
      </c>
      <c r="AC85" s="270">
        <f>IF(AC$79&lt;='Pricing'!G$4,'Pricing'!G$56,0)</f>
      </c>
      <c r="AD85" s="270">
        <f>IF(AD$79&lt;='Pricing'!G$4,'Pricing'!G$56,0)</f>
      </c>
      <c r="AE85" s="270">
        <f>IF(AE$79&lt;='Pricing'!G$4,'Pricing'!G$56,0)</f>
      </c>
      <c r="AF85" s="270">
        <f>IF(AF$79&lt;='Pricing'!G$4,'Pricing'!G$56,0)</f>
      </c>
      <c r="AG85" s="270">
        <f>IF(AG$79&lt;='Pricing'!G$4,'Pricing'!G$56,0)</f>
      </c>
      <c r="AH85" s="270">
        <f>IF(AH$79&lt;='Pricing'!G$4,'Pricing'!G$56,0)</f>
      </c>
      <c r="AI85" s="270">
        <f>IF(AI$79&lt;='Pricing'!G$4,'Pricing'!G$56,0)</f>
      </c>
      <c r="AJ85" s="270">
        <f>IF(AJ$79&lt;='Pricing'!G$4,'Pricing'!G$56,0)</f>
      </c>
      <c r="AK85" s="270">
        <f>IF(AK$79&lt;='Pricing'!G$4,'Pricing'!G$56,0)</f>
      </c>
      <c r="AL85" s="270">
        <f>IF(AL$79&lt;='Pricing'!G$4,'Pricing'!G$56,0)</f>
      </c>
      <c r="AM85" s="270">
        <f>IF(AM$79&lt;='Pricing'!G$4,'Pricing'!G$56,0)</f>
      </c>
      <c r="AN85" s="270">
        <f>IF(AN$79&lt;='Pricing'!G$4,'Pricing'!G$56,0)</f>
      </c>
      <c r="AO85" s="270">
        <f>IF(AO$79&lt;='Pricing'!G$4,'Pricing'!G$56,0)</f>
      </c>
      <c r="AP85" s="270">
        <f>IF(AP$79&lt;='Pricing'!G$4,'Pricing'!G$56,0)</f>
      </c>
      <c r="AQ85" s="270">
        <f>IF(AQ$79&lt;='Pricing'!G$4,'Pricing'!G$56,0)</f>
      </c>
      <c r="AR85" s="270">
        <f>IF(AR$79&lt;='Pricing'!G$4,'Pricing'!G$56,0)</f>
      </c>
      <c r="AS85" s="270">
        <f>IF(AS$79&lt;='Pricing'!G$4,'Pricing'!G$56,0)</f>
      </c>
      <c r="AT85" s="270">
        <f>IF(AT$79&lt;='Pricing'!G$4,'Pricing'!G$56,0)</f>
      </c>
      <c r="AU85" s="270">
        <f>IF(AU$79&lt;='Pricing'!G$4,'Pricing'!G$56,0)</f>
      </c>
      <c r="AV85" s="270">
        <f>IF(AV$79&lt;='Pricing'!G$4,'Pricing'!G$56,0)</f>
      </c>
      <c r="AW85" s="270">
        <f>IF(AW$79&lt;='Pricing'!G$4,'Pricing'!G$56,0)</f>
      </c>
      <c r="AX85" s="270">
        <f>IF(AX$79&lt;='Pricing'!G$4,'Pricing'!G$56,0)</f>
      </c>
      <c r="AY85" s="270">
        <f>IF(AY$79&lt;='Pricing'!G$4,'Pricing'!G$56,0)</f>
      </c>
      <c r="AZ85" s="270">
        <f>IF(AZ$79&lt;='Pricing'!G$4,'Pricing'!G$56,0)</f>
      </c>
      <c r="BA85" s="270">
        <f>IF(BA$79&lt;='Pricing'!G$4,'Pricing'!G$56,0)</f>
      </c>
      <c r="BB85" s="270">
        <f>IF(BB$79&lt;='Pricing'!G$4,'Pricing'!G$56,0)</f>
      </c>
      <c r="BC85" s="270">
        <f>IF(BC$79&lt;='Pricing'!G$4,'Pricing'!G$56,0)</f>
      </c>
      <c r="BD85" s="270">
        <f>IF(BD$79&lt;='Pricing'!G$4,'Pricing'!G$56,0)</f>
      </c>
      <c r="BE85" s="270">
        <f>IF(BE$79&lt;='Pricing'!G$4,'Pricing'!G$56,0)</f>
      </c>
      <c r="BF85" s="270">
        <f>IF(BF$79&lt;='Pricing'!G$4,'Pricing'!G$56,0)</f>
      </c>
      <c r="BG85" s="270">
        <f>IF(BG$79&lt;='Pricing'!G$4,'Pricing'!G$56,0)</f>
      </c>
      <c r="BH85" s="270">
        <f>IF(BH$79&lt;='Pricing'!G$4,'Pricing'!G$56,0)</f>
      </c>
      <c r="BI85" s="270">
        <f>IF(BI$79&lt;='Pricing'!G$4,'Pricing'!G$56,0)</f>
      </c>
      <c r="BJ85" s="270">
        <f>IF(BJ$79&lt;='Pricing'!G$4,'Pricing'!G$56,0)</f>
      </c>
    </row>
    <row r="86" spans="2:62" ht="15" customHeight="1" x14ac:dyDescent="0.2">
      <c r="B86" s="264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  <c r="AL86" s="269"/>
      <c r="AM86" s="269"/>
      <c r="AN86" s="269"/>
      <c r="AO86" s="269"/>
      <c r="AP86" s="269"/>
      <c r="AQ86" s="269"/>
      <c r="AR86" s="269"/>
      <c r="AS86" s="269"/>
      <c r="AT86" s="269"/>
      <c r="AU86" s="269"/>
      <c r="AV86" s="269"/>
      <c r="AW86" s="269"/>
      <c r="AX86" s="269"/>
      <c r="AY86" s="269"/>
      <c r="AZ86" s="269"/>
      <c r="BA86" s="269"/>
      <c r="BB86" s="269"/>
      <c r="BC86" s="269"/>
      <c r="BD86" s="269"/>
      <c r="BE86" s="269"/>
      <c r="BF86" s="269"/>
      <c r="BG86" s="269"/>
      <c r="BH86" s="269"/>
      <c r="BI86" s="269"/>
      <c r="BJ86" s="269"/>
    </row>
    <row r="87" spans="2:62" ht="15" customHeight="1" x14ac:dyDescent="0.2">
      <c r="B87" s="271" t="s">
        <v>129</v>
      </c>
      <c r="C87" s="272">
        <f>C85</f>
      </c>
      <c r="D87" s="272">
        <f>SUM($C85:D85)</f>
      </c>
      <c r="E87" s="272">
        <f>SUM($C85:E85)</f>
      </c>
      <c r="F87" s="272">
        <f>SUM($C85:F85)</f>
      </c>
      <c r="G87" s="272">
        <f>SUM($C85:G85)</f>
      </c>
      <c r="H87" s="272">
        <f>SUM($C85:H85)</f>
      </c>
      <c r="I87" s="272">
        <f>SUM($C85:I85)</f>
      </c>
      <c r="J87" s="272">
        <f>SUM($C85:J85)</f>
      </c>
      <c r="K87" s="272">
        <f>SUM($C85:K85)</f>
      </c>
      <c r="L87" s="272">
        <f>SUM($C85:L85)</f>
      </c>
      <c r="M87" s="272">
        <f>SUM($C85:M85)</f>
      </c>
      <c r="N87" s="272">
        <f>SUM($C85:N85)</f>
      </c>
      <c r="O87" s="272">
        <f>SUM($C85:O85)</f>
      </c>
      <c r="P87" s="272">
        <f>SUM($C85:P85)</f>
      </c>
      <c r="Q87" s="272">
        <f>SUM($C85:Q85)</f>
      </c>
      <c r="R87" s="272">
        <f>SUM($C85:R85)</f>
      </c>
      <c r="S87" s="272">
        <f>SUM($C85:S85)</f>
      </c>
      <c r="T87" s="272">
        <f>SUM($C85:T85)</f>
      </c>
      <c r="U87" s="272">
        <f>SUM($C85:U85)</f>
      </c>
      <c r="V87" s="272">
        <f>SUM($C85:V85)</f>
      </c>
      <c r="W87" s="272">
        <f>SUM($C85:W85)</f>
      </c>
      <c r="X87" s="272">
        <f>SUM($C85:X85)</f>
      </c>
      <c r="Y87" s="272">
        <f>SUM($C85:Y85)</f>
      </c>
      <c r="Z87" s="272">
        <f>SUM($C85:Z85)</f>
      </c>
      <c r="AA87" s="272">
        <f>SUM($C85:AA85)</f>
      </c>
      <c r="AB87" s="272">
        <f>SUM($C85:AB85)</f>
      </c>
      <c r="AC87" s="272">
        <f>SUM($C85:AC85)</f>
      </c>
      <c r="AD87" s="272">
        <f>SUM($C85:AD85)</f>
      </c>
      <c r="AE87" s="272">
        <f>SUM($C85:AE85)</f>
      </c>
      <c r="AF87" s="272">
        <f>SUM($C85:AF85)</f>
      </c>
      <c r="AG87" s="272">
        <f>SUM($C85:AG85)</f>
      </c>
      <c r="AH87" s="272">
        <f>SUM($C85:AH85)</f>
      </c>
      <c r="AI87" s="272">
        <f>SUM($C85:AI85)</f>
      </c>
      <c r="AJ87" s="272">
        <f>SUM($C85:AJ85)</f>
      </c>
      <c r="AK87" s="272">
        <f>SUM($C85:AK85)</f>
      </c>
      <c r="AL87" s="272">
        <f>SUM($C85:AL85)</f>
      </c>
      <c r="AM87" s="272">
        <f>SUM($C85:AM85)</f>
      </c>
      <c r="AN87" s="272">
        <f>SUM($C85:AN85)</f>
      </c>
      <c r="AO87" s="272">
        <f>SUM($C85:AO85)</f>
      </c>
      <c r="AP87" s="272">
        <f>SUM($C85:AP85)</f>
      </c>
      <c r="AQ87" s="272">
        <f>SUM($C85:AQ85)</f>
      </c>
      <c r="AR87" s="272">
        <f>SUM($C85:AR85)</f>
      </c>
      <c r="AS87" s="272">
        <f>SUM($C85:AS85)</f>
      </c>
      <c r="AT87" s="272">
        <f>SUM($C85:AT85)</f>
      </c>
      <c r="AU87" s="272">
        <f>SUM($C85:AU85)</f>
      </c>
      <c r="AV87" s="272">
        <f>SUM($C85:AV85)</f>
      </c>
      <c r="AW87" s="272">
        <f>SUM($C85:AW85)</f>
      </c>
      <c r="AX87" s="272">
        <f>SUM($C85:AX85)</f>
      </c>
      <c r="AY87" s="272">
        <f>SUM($C85:AY85)</f>
      </c>
      <c r="AZ87" s="272">
        <f>SUM($C85:AZ85)</f>
      </c>
      <c r="BA87" s="272">
        <f>SUM($C85:BA85)</f>
      </c>
      <c r="BB87" s="272">
        <f>SUM($C85:BB85)</f>
      </c>
      <c r="BC87" s="272">
        <f>SUM($C85:BC85)</f>
      </c>
      <c r="BD87" s="272">
        <f>SUM($C85:BD85)</f>
      </c>
      <c r="BE87" s="272">
        <f>SUM($C85:BE85)</f>
      </c>
      <c r="BF87" s="272">
        <f>SUM($C85:BF85)</f>
      </c>
      <c r="BG87" s="272">
        <f>SUM($C85:BG85)</f>
      </c>
      <c r="BH87" s="272">
        <f>SUM($C85:BH85)</f>
      </c>
      <c r="BI87" s="272">
        <f>SUM($C85:BI85)</f>
      </c>
      <c r="BJ87" s="272">
        <f>SUM($C85:BJ85)</f>
      </c>
    </row>
    <row r="88" spans="2:62" ht="15" customHeight="1" x14ac:dyDescent="0.2">
      <c r="B88" s="267"/>
      <c r="C88" s="264"/>
      <c r="D88" s="273">
        <f>IF(AND(C87&lt;0,D87&gt;=0,D85&gt;0),-C87/D85,"n/m")</f>
      </c>
      <c r="E88" s="273">
        <f>IF(AND(D87&lt;0,E87&gt;=0,E85&gt;0),-D87/E85,"n/m")</f>
      </c>
      <c r="F88" s="273">
        <f>IF(AND(E87&lt;0,F87&gt;=0,F85&gt;0),-E87/F85,"n/m")</f>
      </c>
      <c r="G88" s="273">
        <f>IF(AND(F87&lt;0,G87&gt;=0,G85&gt;0),-F87/G85,"n/m")</f>
      </c>
      <c r="H88" s="273">
        <f>IF(AND(G87&lt;0,H87&gt;=0,H85&gt;0),-G87/H85,"n/m")</f>
      </c>
      <c r="I88" s="273">
        <f>IF(AND(H87&lt;0,I87&gt;=0,I85&gt;0),-H87/I85,"n/m")</f>
      </c>
      <c r="J88" s="273">
        <f>IF(AND(I87&lt;0,J87&gt;=0,J85&gt;0),-I87/J85,"n/m")</f>
      </c>
      <c r="K88" s="273">
        <f>IF(AND(J87&lt;0,K87&gt;=0,K85&gt;0),-J87/K85,"n/m")</f>
      </c>
      <c r="L88" s="273">
        <f>IF(AND(K87&lt;0,L87&gt;=0,L85&gt;0),-K87/L85,"n/m")</f>
      </c>
      <c r="M88" s="273">
        <f>IF(AND(L87&lt;0,M87&gt;=0,M85&gt;0),-L87/M85,"n/m")</f>
      </c>
      <c r="N88" s="273">
        <f>IF(AND(M87&lt;0,N87&gt;=0,N85&gt;0),-M87/N85,"n/m")</f>
      </c>
      <c r="O88" s="273">
        <f>IF(AND(N87&lt;0,O87&gt;=0,O85&gt;0),-N87/O85,"n/m")</f>
      </c>
      <c r="P88" s="273">
        <f>IF(AND(O87&lt;0,P87&gt;=0,P85&gt;0),-O87/P85,"n/m")</f>
      </c>
      <c r="Q88" s="273">
        <f>IF(AND(P87&lt;0,Q87&gt;=0,Q85&gt;0),-P87/Q85,"n/m")</f>
      </c>
      <c r="R88" s="273">
        <f>IF(AND(Q87&lt;0,R87&gt;=0,R85&gt;0),-Q87/R85,"n/m")</f>
      </c>
      <c r="S88" s="273">
        <f>IF(AND(R87&lt;0,S87&gt;=0,S85&gt;0),-R87/S85,"n/m")</f>
      </c>
      <c r="T88" s="273">
        <f>IF(AND(S87&lt;0,T87&gt;=0,T85&gt;0),-S87/T85,"n/m")</f>
      </c>
      <c r="U88" s="273">
        <f>IF(AND(T87&lt;0,U87&gt;=0,U85&gt;0),-T87/U85,"n/m")</f>
      </c>
      <c r="V88" s="273">
        <f>IF(AND(U87&lt;0,V87&gt;=0,V85&gt;0),-U87/V85,"n/m")</f>
      </c>
      <c r="W88" s="273">
        <f>IF(AND(V87&lt;0,W87&gt;=0,W85&gt;0),-V87/W85,"n/m")</f>
      </c>
      <c r="X88" s="273">
        <f>IF(AND(W87&lt;0,X87&gt;=0,X85&gt;0),-W87/X85,"n/m")</f>
      </c>
      <c r="Y88" s="273">
        <f>IF(AND(X87&lt;0,Y87&gt;=0,Y85&gt;0),-X87/Y85,"n/m")</f>
      </c>
      <c r="Z88" s="273">
        <f>IF(AND(Y87&lt;0,Z87&gt;=0,Z85&gt;0),-Y87/Z85,"n/m")</f>
      </c>
      <c r="AA88" s="273">
        <f>IF(AND(Z87&lt;0,AA87&gt;=0,AA85&gt;0),-Z87/AA85,"n/m")</f>
      </c>
      <c r="AB88" s="273">
        <f>IF(AND(AA87&lt;0,AB87&gt;=0,AB85&gt;0),-AA87/AB85,"n/m")</f>
      </c>
      <c r="AC88" s="273">
        <f>IF(AND(AB87&lt;0,AC87&gt;=0,AC85&gt;0),-AB87/AC85,"n/m")</f>
      </c>
      <c r="AD88" s="273">
        <f>IF(AND(AC87&lt;0,AD87&gt;=0,AD85&gt;0),-AC87/AD85,"n/m")</f>
      </c>
      <c r="AE88" s="273">
        <f>IF(AND(AD87&lt;0,AE87&gt;=0,AE85&gt;0),-AD87/AE85,"n/m")</f>
      </c>
      <c r="AF88" s="273">
        <f>IF(AND(AE87&lt;0,AF87&gt;=0,AF85&gt;0),-AE87/AF85,"n/m")</f>
      </c>
      <c r="AG88" s="273">
        <f>IF(AND(AF87&lt;0,AG87&gt;=0,AG85&gt;0),-AF87/AG85,"n/m")</f>
      </c>
      <c r="AH88" s="273">
        <f>IF(AND(AG87&lt;0,AH87&gt;=0,AH85&gt;0),-AG87/AH85,"n/m")</f>
      </c>
      <c r="AI88" s="273">
        <f>IF(AND(AH87&lt;0,AI87&gt;=0,AI85&gt;0),-AH87/AI85,"n/m")</f>
      </c>
      <c r="AJ88" s="273">
        <f>IF(AND(AI87&lt;0,AJ87&gt;=0,AJ85&gt;0),-AI87/AJ85,"n/m")</f>
      </c>
      <c r="AK88" s="273">
        <f>IF(AND(AJ87&lt;0,AK87&gt;=0,AK85&gt;0),-AJ87/AK85,"n/m")</f>
      </c>
      <c r="AL88" s="273">
        <f>IF(AND(AK87&lt;0,AL87&gt;=0,AL85&gt;0),-AK87/AL85,"n/m")</f>
      </c>
      <c r="AM88" s="273">
        <f>IF(AND(AL87&lt;0,AM87&gt;=0,AM85&gt;0),-AL87/AM85,"n/m")</f>
      </c>
      <c r="AN88" s="273">
        <f>IF(AND(AM87&lt;0,AN87&gt;=0,AN85&gt;0),-AM87/AN85,"n/m")</f>
      </c>
      <c r="AO88" s="273">
        <f>IF(AND(AN87&lt;0,AO87&gt;=0,AO85&gt;0),-AN87/AO85,"n/m")</f>
      </c>
      <c r="AP88" s="273">
        <f>IF(AND(AO87&lt;0,AP87&gt;=0,AP85&gt;0),-AO87/AP85,"n/m")</f>
      </c>
      <c r="AQ88" s="273">
        <f>IF(AND(AP87&lt;0,AQ87&gt;=0,AQ85&gt;0),-AP87/AQ85,"n/m")</f>
      </c>
      <c r="AR88" s="273">
        <f>IF(AND(AQ87&lt;0,AR87&gt;=0,AR85&gt;0),-AQ87/AR85,"n/m")</f>
      </c>
      <c r="AS88" s="273">
        <f>IF(AND(AR87&lt;0,AS87&gt;=0,AS85&gt;0),-AR87/AS85,"n/m")</f>
      </c>
      <c r="AT88" s="273">
        <f>IF(AND(AS87&lt;0,AT87&gt;=0,AT85&gt;0),-AS87/AT85,"n/m")</f>
      </c>
      <c r="AU88" s="273">
        <f>IF(AND(AT87&lt;0,AU87&gt;=0,AU85&gt;0),-AT87/AU85,"n/m")</f>
      </c>
      <c r="AV88" s="273">
        <f>IF(AND(AU87&lt;0,AV87&gt;=0,AV85&gt;0),-AU87/AV85,"n/m")</f>
      </c>
      <c r="AW88" s="273">
        <f>IF(AND(AV87&lt;0,AW87&gt;=0,AW85&gt;0),-AV87/AW85,"n/m")</f>
      </c>
      <c r="AX88" s="273">
        <f>IF(AND(AW87&lt;0,AX87&gt;=0,AX85&gt;0),-AW87/AX85,"n/m")</f>
      </c>
      <c r="AY88" s="273">
        <f>IF(AND(AX87&lt;0,AY87&gt;=0,AY85&gt;0),-AX87/AY85,"n/m")</f>
      </c>
      <c r="AZ88" s="273">
        <f>IF(AND(AY87&lt;0,AZ87&gt;=0,AZ85&gt;0),-AY87/AZ85,"n/m")</f>
      </c>
      <c r="BA88" s="273">
        <f>IF(AND(AZ87&lt;0,BA87&gt;=0,BA85&gt;0),-AZ87/BA85,"n/m")</f>
      </c>
      <c r="BB88" s="273">
        <f>IF(AND(BA87&lt;0,BB87&gt;=0,BB85&gt;0),-BA87/BB85,"n/m")</f>
      </c>
      <c r="BC88" s="273">
        <f>IF(AND(BB87&lt;0,BC87&gt;=0,BC85&gt;0),-BB87/BC85,"n/m")</f>
      </c>
      <c r="BD88" s="273">
        <f>IF(AND(BC87&lt;0,BD87&gt;=0,BD85&gt;0),-BC87/BD85,"n/m")</f>
      </c>
      <c r="BE88" s="273">
        <f>IF(AND(BD87&lt;0,BE87&gt;=0,BE85&gt;0),-BD87/BE85,"n/m")</f>
      </c>
      <c r="BF88" s="273">
        <f>IF(AND(BE87&lt;0,BF87&gt;=0,BF85&gt;0),-BE87/BF85,"n/m")</f>
      </c>
      <c r="BG88" s="273">
        <f>IF(AND(BF87&lt;0,BG87&gt;=0,BG85&gt;0),-BF87/BG85,"n/m")</f>
      </c>
      <c r="BH88" s="273">
        <f>IF(AND(BG87&lt;0,BH87&gt;=0,BH85&gt;0),-BG87/BH85,"n/m")</f>
      </c>
      <c r="BI88" s="273">
        <f>IF(AND(BH87&lt;0,BI87&gt;=0,BI85&gt;0),-BH87/BI85,"n/m")</f>
      </c>
      <c r="BJ88" s="273">
        <f>IF(AND(BI87&lt;0,BJ87&gt;=0,BJ85&gt;0),-BI87/BJ85,"n/m")</f>
      </c>
    </row>
    <row r="89" spans="2:62" s="280" customFormat="1" ht="15" customHeight="1" x14ac:dyDescent="0.2">
      <c r="B89" s="283"/>
      <c r="C89" s="283"/>
      <c r="E89" s="283"/>
      <c r="F89" s="283"/>
      <c r="G89" s="283"/>
      <c r="H89" s="291"/>
      <c r="I89" s="283"/>
      <c r="J89" s="283"/>
    </row>
    <row r="90" spans="2:62" s="280" customFormat="1" ht="15" customHeight="1" x14ac:dyDescent="0.2">
      <c r="B90" s="283"/>
      <c r="C90" s="283"/>
      <c r="D90" s="283"/>
      <c r="E90" s="283"/>
      <c r="F90" s="283"/>
      <c r="G90" s="283"/>
      <c r="H90" s="291"/>
      <c r="I90" s="283"/>
      <c r="J90" s="283"/>
    </row>
    <row r="91" spans="2:62" s="280" customFormat="1" ht="15" customHeight="1" x14ac:dyDescent="0.2">
      <c r="B91" s="285" t="s">
        <v>130</v>
      </c>
      <c r="C91" s="296">
        <f>IF(C84&lt;=0,0,IF(AND('Pricing'!G56&gt;0,C84&lt;='Pricing'!G56*'Pricing'!G4),C84/'Pricing'!G56,"n/m"))</f>
      </c>
      <c r="E91" s="283"/>
      <c r="F91" s="283"/>
      <c r="G91" s="283"/>
      <c r="H91" s="283"/>
      <c r="I91" s="283"/>
      <c r="J91" s="283"/>
    </row>
    <row r="92" spans="2:62" s="280" customFormat="1" ht="15" customHeight="1" x14ac:dyDescent="0.2">
      <c r="B92" s="283"/>
      <c r="C92" s="283"/>
      <c r="D92" s="283"/>
      <c r="E92" s="283"/>
      <c r="F92" s="283"/>
      <c r="G92" s="283"/>
      <c r="H92" s="283"/>
      <c r="I92" s="283"/>
      <c r="J92" s="283"/>
    </row>
    <row r="93" spans="2:62" s="280" customFormat="1" ht="15" customHeight="1" x14ac:dyDescent="0.2">
      <c r="B93" s="283"/>
      <c r="C93" s="283"/>
      <c r="D93" s="283"/>
      <c r="E93" s="283"/>
      <c r="F93" s="283"/>
      <c r="G93" s="283"/>
      <c r="H93" s="283"/>
      <c r="I93" s="283"/>
      <c r="J93" s="283"/>
    </row>
    <row r="94" spans="2:62" s="280" customFormat="1" ht="15" customHeight="1" x14ac:dyDescent="0.2">
      <c r="B94" s="293" t="s">
        <v>131</v>
      </c>
      <c r="C94" s="283"/>
      <c r="D94" s="283"/>
      <c r="E94" s="283"/>
      <c r="F94" s="283"/>
      <c r="G94" s="283"/>
      <c r="H94" s="283"/>
      <c r="I94" s="283"/>
      <c r="J94" s="283"/>
    </row>
    <row r="95" spans="2:62" s="280" customFormat="1" ht="15" customHeight="1" x14ac:dyDescent="0.2">
      <c r="B95" s="285" t="s">
        <v>132</v>
      </c>
      <c r="C95" s="297">
        <f>IF(ISNUMBER(C91),INT(C91),"n/m")</f>
      </c>
      <c r="E95" s="283"/>
      <c r="F95" s="283"/>
      <c r="G95" s="283"/>
      <c r="H95" s="283"/>
      <c r="I95" s="283"/>
      <c r="J95" s="283"/>
    </row>
    <row r="96" spans="2:62" s="280" customFormat="1" ht="15" customHeight="1" x14ac:dyDescent="0.2">
      <c r="B96" s="285" t="s">
        <v>133</v>
      </c>
      <c r="C96" s="297">
        <f>IF(ISNUMBER(C91),MOD(C91,1),"n/m")</f>
      </c>
      <c r="E96" s="283"/>
      <c r="F96" s="283"/>
      <c r="G96" s="283"/>
      <c r="H96" s="283"/>
      <c r="I96" s="283"/>
      <c r="J96" s="283"/>
    </row>
    <row r="97" spans="2:62" s="280" customFormat="1" ht="15" customHeight="1" x14ac:dyDescent="0.2">
      <c r="B97" s="283"/>
      <c r="C97" s="283"/>
      <c r="D97" s="283"/>
      <c r="E97" s="283"/>
      <c r="F97" s="283"/>
      <c r="G97" s="283"/>
      <c r="H97" s="283"/>
      <c r="I97" s="283"/>
      <c r="J97" s="283"/>
    </row>
    <row r="98" spans="2:62" s="280" customFormat="1" ht="15" customHeight="1" x14ac:dyDescent="0.2">
      <c r="B98" s="283"/>
      <c r="C98" s="283"/>
      <c r="D98" s="283"/>
      <c r="E98" s="283"/>
      <c r="F98" s="283"/>
      <c r="G98" s="283"/>
      <c r="H98" s="283"/>
      <c r="I98" s="283"/>
      <c r="J98" s="283"/>
    </row>
    <row r="99" spans="2:62" s="280" customFormat="1" ht="15" customHeight="1" x14ac:dyDescent="0.2">
      <c r="B99" s="285" t="s">
        <v>134</v>
      </c>
      <c r="C99" s="285"/>
      <c r="D99" s="285"/>
      <c r="E99" s="285"/>
      <c r="F99" s="285"/>
      <c r="G99" s="285"/>
      <c r="H99" s="285"/>
      <c r="I99" s="285"/>
      <c r="J99" s="285"/>
    </row>
    <row r="100" spans="2:62" s="280" customFormat="1" ht="15" customHeight="1" x14ac:dyDescent="0.2">
      <c r="B100" s="285" t="s">
        <v>130</v>
      </c>
      <c r="C100" s="279">
        <f>C91</f>
      </c>
      <c r="D100" s="283"/>
    </row>
    <row r="101" spans="2:62" s="280" customFormat="1" ht="15" customHeight="1" x14ac:dyDescent="0.2">
      <c r="B101" s="283"/>
      <c r="D101" s="283"/>
      <c r="E101" s="283"/>
      <c r="F101" s="283"/>
      <c r="G101" s="283"/>
      <c r="H101" s="283"/>
      <c r="I101" s="283"/>
      <c r="J101" s="283"/>
    </row>
    <row r="102" spans="2:62" s="280" customFormat="1" ht="15" customHeight="1" x14ac:dyDescent="0.2">
      <c r="B102" s="283"/>
      <c r="D102" s="283"/>
      <c r="E102" s="283"/>
      <c r="F102" s="283"/>
      <c r="G102" s="283"/>
      <c r="H102" s="283"/>
      <c r="I102" s="283"/>
      <c r="J102" s="283"/>
    </row>
    <row r="105" spans="2:62" ht="30.75" customHeight="1" x14ac:dyDescent="0.2">
      <c r="B105" s="262" t="s">
        <v>18</v>
      </c>
      <c r="C105" s="263">
        <v>0</v>
      </c>
      <c r="D105" s="263">
        <f>C105+1</f>
      </c>
      <c r="E105" s="263">
        <f>D105+1</f>
      </c>
      <c r="F105" s="263">
        <f>E105+1</f>
      </c>
      <c r="G105" s="263">
        <f>F105+1</f>
      </c>
      <c r="H105" s="263">
        <f>G105+1</f>
      </c>
      <c r="I105" s="263">
        <f>H105+1</f>
      </c>
      <c r="J105" s="263">
        <f>I105+1</f>
      </c>
      <c r="K105" s="263">
        <f>J105+1</f>
      </c>
      <c r="L105" s="263">
        <f>K105+1</f>
      </c>
      <c r="M105" s="263">
        <f>L105+1</f>
      </c>
      <c r="N105" s="263">
        <f>M105+1</f>
      </c>
      <c r="O105" s="263">
        <f>N105+1</f>
      </c>
      <c r="P105" s="263">
        <f>O105+1</f>
      </c>
      <c r="Q105" s="263">
        <f>P105+1</f>
      </c>
      <c r="R105" s="263">
        <f>Q105+1</f>
      </c>
      <c r="S105" s="263">
        <f>R105+1</f>
      </c>
      <c r="T105" s="263">
        <f>S105+1</f>
      </c>
      <c r="U105" s="263">
        <f>T105+1</f>
      </c>
      <c r="V105" s="263">
        <f>U105+1</f>
      </c>
      <c r="W105" s="263">
        <f>V105+1</f>
      </c>
      <c r="X105" s="263">
        <f>W105+1</f>
      </c>
      <c r="Y105" s="263">
        <f>X105+1</f>
      </c>
      <c r="Z105" s="263">
        <f>Y105+1</f>
      </c>
      <c r="AA105" s="263">
        <f>Z105+1</f>
      </c>
      <c r="AB105" s="263">
        <f>AA105+1</f>
      </c>
      <c r="AC105" s="263">
        <f>AB105+1</f>
      </c>
      <c r="AD105" s="263">
        <f>AC105+1</f>
      </c>
      <c r="AE105" s="263">
        <f>AD105+1</f>
      </c>
      <c r="AF105" s="263">
        <f>AE105+1</f>
      </c>
      <c r="AG105" s="263">
        <f>AF105+1</f>
      </c>
      <c r="AH105" s="263">
        <f>AG105+1</f>
      </c>
      <c r="AI105" s="263">
        <f>AH105+1</f>
      </c>
      <c r="AJ105" s="263">
        <f>AI105+1</f>
      </c>
      <c r="AK105" s="263">
        <f>AJ105+1</f>
      </c>
      <c r="AL105" s="263">
        <f>AK105+1</f>
      </c>
      <c r="AM105" s="263">
        <f>AL105+1</f>
      </c>
      <c r="AN105" s="263">
        <f>AM105+1</f>
      </c>
      <c r="AO105" s="263">
        <f>AN105+1</f>
      </c>
      <c r="AP105" s="263">
        <f>AO105+1</f>
      </c>
      <c r="AQ105" s="263">
        <f>AP105+1</f>
      </c>
      <c r="AR105" s="263">
        <f>AQ105+1</f>
      </c>
      <c r="AS105" s="263">
        <f>AR105+1</f>
      </c>
      <c r="AT105" s="263">
        <f>AS105+1</f>
      </c>
      <c r="AU105" s="263">
        <f>AT105+1</f>
      </c>
      <c r="AV105" s="263">
        <f>AU105+1</f>
      </c>
      <c r="AW105" s="263">
        <f>AV105+1</f>
      </c>
      <c r="AX105" s="263">
        <f>AW105+1</f>
      </c>
      <c r="AY105" s="263">
        <f>AX105+1</f>
      </c>
      <c r="AZ105" s="263">
        <f>AY105+1</f>
      </c>
      <c r="BA105" s="263">
        <f>AZ105+1</f>
      </c>
      <c r="BB105" s="263">
        <f>BA105+1</f>
      </c>
      <c r="BC105" s="263">
        <f>BB105+1</f>
      </c>
      <c r="BD105" s="263">
        <f>BC105+1</f>
      </c>
      <c r="BE105" s="263">
        <f>BD105+1</f>
      </c>
      <c r="BF105" s="263">
        <f>BE105+1</f>
      </c>
      <c r="BG105" s="263">
        <f>BF105+1</f>
      </c>
      <c r="BH105" s="263">
        <f>BG105+1</f>
      </c>
      <c r="BI105" s="263">
        <f>BH105+1</f>
      </c>
      <c r="BJ105" s="263">
        <f>BI105+1</f>
      </c>
    </row>
    <row r="106" spans="2:62" ht="15" customHeight="1" x14ac:dyDescent="0.2">
      <c r="B106" s="264" t="s">
        <v>125</v>
      </c>
      <c r="C106" s="267"/>
      <c r="D106" s="295">
        <f>SUM(Pricing!H56)</f>
      </c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267"/>
      <c r="AS106" s="267"/>
      <c r="AT106" s="267"/>
      <c r="AU106" s="267"/>
      <c r="AV106" s="267"/>
      <c r="AW106" s="267"/>
      <c r="AX106" s="267"/>
      <c r="AY106" s="267"/>
      <c r="AZ106" s="267"/>
      <c r="BA106" s="267"/>
      <c r="BB106" s="267"/>
      <c r="BC106" s="267"/>
      <c r="BD106" s="267"/>
      <c r="BE106" s="267"/>
      <c r="BF106" s="267"/>
      <c r="BG106" s="267"/>
      <c r="BH106" s="267"/>
      <c r="BI106" s="267"/>
      <c r="BJ106" s="267"/>
    </row>
    <row r="107" spans="2:62" ht="15" customHeight="1" x14ac:dyDescent="0.2">
      <c r="B107" s="264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  <c r="AR107" s="267"/>
      <c r="AS107" s="267"/>
      <c r="AT107" s="267"/>
      <c r="AU107" s="267"/>
      <c r="AV107" s="267"/>
      <c r="AW107" s="267"/>
      <c r="AX107" s="267"/>
      <c r="AY107" s="267"/>
      <c r="AZ107" s="267"/>
      <c r="BA107" s="267"/>
      <c r="BB107" s="267"/>
      <c r="BC107" s="267"/>
      <c r="BD107" s="267"/>
      <c r="BE107" s="267"/>
      <c r="BF107" s="267"/>
      <c r="BG107" s="267"/>
      <c r="BH107" s="267"/>
      <c r="BI107" s="267"/>
      <c r="BJ107" s="267"/>
    </row>
    <row r="108" spans="2:62" ht="15" customHeight="1" x14ac:dyDescent="0.2">
      <c r="B108" s="264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  <c r="AR108" s="267"/>
      <c r="AS108" s="267"/>
      <c r="AT108" s="267"/>
      <c r="AU108" s="267"/>
      <c r="AV108" s="267"/>
      <c r="AW108" s="267"/>
      <c r="AX108" s="267"/>
      <c r="AY108" s="267"/>
      <c r="AZ108" s="267"/>
      <c r="BA108" s="267"/>
      <c r="BB108" s="267"/>
      <c r="BC108" s="267"/>
      <c r="BD108" s="267"/>
      <c r="BE108" s="267"/>
      <c r="BF108" s="267"/>
      <c r="BG108" s="267"/>
      <c r="BH108" s="267"/>
      <c r="BI108" s="267"/>
      <c r="BJ108" s="267"/>
    </row>
    <row r="109" spans="2:62" ht="15" customHeight="1" x14ac:dyDescent="0.2">
      <c r="B109" s="264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  <c r="AR109" s="267"/>
      <c r="AS109" s="267"/>
      <c r="AT109" s="267"/>
      <c r="AU109" s="267"/>
      <c r="AV109" s="267"/>
      <c r="AW109" s="267"/>
      <c r="AX109" s="267"/>
      <c r="AY109" s="267"/>
      <c r="AZ109" s="267"/>
      <c r="BA109" s="267"/>
      <c r="BB109" s="267"/>
      <c r="BC109" s="267"/>
      <c r="BD109" s="267"/>
      <c r="BE109" s="267"/>
      <c r="BF109" s="267"/>
      <c r="BG109" s="267"/>
      <c r="BH109" s="267"/>
      <c r="BI109" s="267"/>
      <c r="BJ109" s="267"/>
    </row>
    <row r="110" spans="2:62" ht="15" customHeight="1" x14ac:dyDescent="0.2">
      <c r="B110" s="264" t="s">
        <v>127</v>
      </c>
      <c r="C110" s="266">
        <f>'Pricing'!H52-'Pricing'!H7-'Pricing'!H100</f>
      </c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269"/>
      <c r="AY110" s="269"/>
      <c r="AZ110" s="269"/>
      <c r="BA110" s="269"/>
      <c r="BB110" s="269"/>
      <c r="BC110" s="269"/>
      <c r="BD110" s="269"/>
      <c r="BE110" s="269"/>
      <c r="BF110" s="269"/>
      <c r="BG110" s="269"/>
      <c r="BH110" s="269"/>
      <c r="BI110" s="269"/>
      <c r="BJ110" s="269"/>
    </row>
    <row r="111" spans="2:62" ht="15" customHeight="1" x14ac:dyDescent="0.2">
      <c r="B111" s="264" t="s">
        <v>128</v>
      </c>
      <c r="C111" s="269">
        <f>-C110</f>
      </c>
      <c r="D111" s="270">
        <f>IF(D$105&lt;='Pricing'!H$4,'Pricing'!H$56,0)</f>
      </c>
      <c r="E111" s="270">
        <f>IF(E$105&lt;='Pricing'!H$4,'Pricing'!H$56,0)</f>
      </c>
      <c r="F111" s="270">
        <f>IF(F$105&lt;='Pricing'!H$4,'Pricing'!H$56,0)</f>
      </c>
      <c r="G111" s="270">
        <f>IF(G$105&lt;='Pricing'!H$4,'Pricing'!H$56,0)</f>
      </c>
      <c r="H111" s="270">
        <f>IF(H$105&lt;='Pricing'!H$4,'Pricing'!H$56,0)</f>
      </c>
      <c r="I111" s="270">
        <f>IF(I$105&lt;='Pricing'!H$4,'Pricing'!H$56,0)</f>
      </c>
      <c r="J111" s="270">
        <f>IF(J$105&lt;='Pricing'!H$4,'Pricing'!H$56,0)</f>
      </c>
      <c r="K111" s="270">
        <f>IF(K$105&lt;='Pricing'!H$4,'Pricing'!H$56,0)</f>
      </c>
      <c r="L111" s="270">
        <f>IF(L$105&lt;='Pricing'!H$4,'Pricing'!H$56,0)</f>
      </c>
      <c r="M111" s="270">
        <f>IF(M$105&lt;='Pricing'!H$4,'Pricing'!H$56,0)</f>
      </c>
      <c r="N111" s="270">
        <f>IF(N$105&lt;='Pricing'!H$4,'Pricing'!H$56,0)</f>
      </c>
      <c r="O111" s="270">
        <f>IF(O$105&lt;='Pricing'!H$4,'Pricing'!H$56,0)</f>
      </c>
      <c r="P111" s="270">
        <f>IF(P$105&lt;='Pricing'!H$4,'Pricing'!H$56,0)</f>
      </c>
      <c r="Q111" s="270">
        <f>IF(Q$105&lt;='Pricing'!H$4,'Pricing'!H$56,0)</f>
      </c>
      <c r="R111" s="270">
        <f>IF(R$105&lt;='Pricing'!H$4,'Pricing'!H$56,0)</f>
      </c>
      <c r="S111" s="270">
        <f>IF(S$105&lt;='Pricing'!H$4,'Pricing'!H$56,0)</f>
      </c>
      <c r="T111" s="270">
        <f>IF(T$105&lt;='Pricing'!H$4,'Pricing'!H$56,0)</f>
      </c>
      <c r="U111" s="270">
        <f>IF(U$105&lt;='Pricing'!H$4,'Pricing'!H$56,0)</f>
      </c>
      <c r="V111" s="270">
        <f>IF(V$105&lt;='Pricing'!H$4,'Pricing'!H$56,0)</f>
      </c>
      <c r="W111" s="270">
        <f>IF(W$105&lt;='Pricing'!H$4,'Pricing'!H$56,0)</f>
      </c>
      <c r="X111" s="270">
        <f>IF(X$105&lt;='Pricing'!H$4,'Pricing'!H$56,0)</f>
      </c>
      <c r="Y111" s="270">
        <f>IF(Y$105&lt;='Pricing'!H$4,'Pricing'!H$56,0)</f>
      </c>
      <c r="Z111" s="270">
        <f>IF(Z$105&lt;='Pricing'!H$4,'Pricing'!H$56,0)</f>
      </c>
      <c r="AA111" s="270">
        <f>IF(AA$105&lt;='Pricing'!H$4,'Pricing'!H$56,0)</f>
      </c>
      <c r="AB111" s="270">
        <f>IF(AB$105&lt;='Pricing'!H$4,'Pricing'!H$56,0)</f>
      </c>
      <c r="AC111" s="270">
        <f>IF(AC$105&lt;='Pricing'!H$4,'Pricing'!H$56,0)</f>
      </c>
      <c r="AD111" s="270">
        <f>IF(AD$105&lt;='Pricing'!H$4,'Pricing'!H$56,0)</f>
      </c>
      <c r="AE111" s="270">
        <f>IF(AE$105&lt;='Pricing'!H$4,'Pricing'!H$56,0)</f>
      </c>
      <c r="AF111" s="270">
        <f>IF(AF$105&lt;='Pricing'!H$4,'Pricing'!H$56,0)</f>
      </c>
      <c r="AG111" s="270">
        <f>IF(AG$105&lt;='Pricing'!H$4,'Pricing'!H$56,0)</f>
      </c>
      <c r="AH111" s="270">
        <f>IF(AH$105&lt;='Pricing'!H$4,'Pricing'!H$56,0)</f>
      </c>
      <c r="AI111" s="270">
        <f>IF(AI$105&lt;='Pricing'!H$4,'Pricing'!H$56,0)</f>
      </c>
      <c r="AJ111" s="270">
        <f>IF(AJ$105&lt;='Pricing'!H$4,'Pricing'!H$56,0)</f>
      </c>
      <c r="AK111" s="270">
        <f>IF(AK$105&lt;='Pricing'!H$4,'Pricing'!H$56,0)</f>
      </c>
      <c r="AL111" s="270">
        <f>IF(AL$105&lt;='Pricing'!H$4,'Pricing'!H$56,0)</f>
      </c>
      <c r="AM111" s="270">
        <f>IF(AM$105&lt;='Pricing'!H$4,'Pricing'!H$56,0)</f>
      </c>
      <c r="AN111" s="270">
        <f>IF(AN$105&lt;='Pricing'!H$4,'Pricing'!H$56,0)</f>
      </c>
      <c r="AO111" s="270">
        <f>IF(AO$105&lt;='Pricing'!H$4,'Pricing'!H$56,0)</f>
      </c>
      <c r="AP111" s="270">
        <f>IF(AP$105&lt;='Pricing'!H$4,'Pricing'!H$56,0)</f>
      </c>
      <c r="AQ111" s="270">
        <f>IF(AQ$105&lt;='Pricing'!H$4,'Pricing'!H$56,0)</f>
      </c>
      <c r="AR111" s="270">
        <f>IF(AR$105&lt;='Pricing'!H$4,'Pricing'!H$56,0)</f>
      </c>
      <c r="AS111" s="270">
        <f>IF(AS$105&lt;='Pricing'!H$4,'Pricing'!H$56,0)</f>
      </c>
      <c r="AT111" s="270">
        <f>IF(AT$105&lt;='Pricing'!H$4,'Pricing'!H$56,0)</f>
      </c>
      <c r="AU111" s="270">
        <f>IF(AU$105&lt;='Pricing'!H$4,'Pricing'!H$56,0)</f>
      </c>
      <c r="AV111" s="270">
        <f>IF(AV$105&lt;='Pricing'!H$4,'Pricing'!H$56,0)</f>
      </c>
      <c r="AW111" s="270">
        <f>IF(AW$105&lt;='Pricing'!H$4,'Pricing'!H$56,0)</f>
      </c>
      <c r="AX111" s="270">
        <f>IF(AX$105&lt;='Pricing'!H$4,'Pricing'!H$56,0)</f>
      </c>
      <c r="AY111" s="270">
        <f>IF(AY$105&lt;='Pricing'!H$4,'Pricing'!H$56,0)</f>
      </c>
      <c r="AZ111" s="270">
        <f>IF(AZ$105&lt;='Pricing'!H$4,'Pricing'!H$56,0)</f>
      </c>
      <c r="BA111" s="270">
        <f>IF(BA$105&lt;='Pricing'!H$4,'Pricing'!H$56,0)</f>
      </c>
      <c r="BB111" s="270">
        <f>IF(BB$105&lt;='Pricing'!H$4,'Pricing'!H$56,0)</f>
      </c>
      <c r="BC111" s="270">
        <f>IF(BC$105&lt;='Pricing'!H$4,'Pricing'!H$56,0)</f>
      </c>
      <c r="BD111" s="270">
        <f>IF(BD$105&lt;='Pricing'!H$4,'Pricing'!H$56,0)</f>
      </c>
      <c r="BE111" s="270">
        <f>IF(BE$105&lt;='Pricing'!H$4,'Pricing'!H$56,0)</f>
      </c>
      <c r="BF111" s="270">
        <f>IF(BF$105&lt;='Pricing'!H$4,'Pricing'!H$56,0)</f>
      </c>
      <c r="BG111" s="270">
        <f>IF(BG$105&lt;='Pricing'!H$4,'Pricing'!H$56,0)</f>
      </c>
      <c r="BH111" s="270">
        <f>IF(BH$105&lt;='Pricing'!H$4,'Pricing'!H$56,0)</f>
      </c>
      <c r="BI111" s="270">
        <f>IF(BI$105&lt;='Pricing'!H$4,'Pricing'!H$56,0)</f>
      </c>
      <c r="BJ111" s="270">
        <f>IF(BJ$105&lt;='Pricing'!H$4,'Pricing'!H$56,0)</f>
      </c>
    </row>
    <row r="112" spans="2:62" ht="15" customHeight="1" x14ac:dyDescent="0.2">
      <c r="B112" s="264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  <c r="AM112" s="269"/>
      <c r="AN112" s="269"/>
      <c r="AO112" s="269"/>
      <c r="AP112" s="269"/>
      <c r="AQ112" s="269"/>
      <c r="AR112" s="269"/>
      <c r="AS112" s="269"/>
      <c r="AT112" s="269"/>
      <c r="AU112" s="269"/>
      <c r="AV112" s="269"/>
      <c r="AW112" s="269"/>
      <c r="AX112" s="269"/>
      <c r="AY112" s="269"/>
      <c r="AZ112" s="269"/>
      <c r="BA112" s="269"/>
      <c r="BB112" s="269"/>
      <c r="BC112" s="269"/>
      <c r="BD112" s="269"/>
      <c r="BE112" s="269"/>
      <c r="BF112" s="269"/>
      <c r="BG112" s="269"/>
      <c r="BH112" s="269"/>
      <c r="BI112" s="269"/>
      <c r="BJ112" s="269"/>
    </row>
    <row r="113" spans="2:62" ht="15" customHeight="1" x14ac:dyDescent="0.2">
      <c r="B113" s="271" t="s">
        <v>129</v>
      </c>
      <c r="C113" s="272">
        <f>C111</f>
      </c>
      <c r="D113" s="272">
        <f>SUM($C111:D111)</f>
      </c>
      <c r="E113" s="272">
        <f>SUM($C111:E111)</f>
      </c>
      <c r="F113" s="272">
        <f>SUM($C111:F111)</f>
      </c>
      <c r="G113" s="272">
        <f>SUM($C111:G111)</f>
      </c>
      <c r="H113" s="272">
        <f>SUM($C111:H111)</f>
      </c>
      <c r="I113" s="272">
        <f>SUM($C111:I111)</f>
      </c>
      <c r="J113" s="272">
        <f>SUM($C111:J111)</f>
      </c>
      <c r="K113" s="272">
        <f>SUM($C111:K111)</f>
      </c>
      <c r="L113" s="272">
        <f>SUM($C111:L111)</f>
      </c>
      <c r="M113" s="272">
        <f>SUM($C111:M111)</f>
      </c>
      <c r="N113" s="272">
        <f>SUM($C111:N111)</f>
      </c>
      <c r="O113" s="272">
        <f>SUM($C111:O111)</f>
      </c>
      <c r="P113" s="272">
        <f>SUM($C111:P111)</f>
      </c>
      <c r="Q113" s="272">
        <f>SUM($C111:Q111)</f>
      </c>
      <c r="R113" s="272">
        <f>SUM($C111:R111)</f>
      </c>
      <c r="S113" s="272">
        <f>SUM($C111:S111)</f>
      </c>
      <c r="T113" s="272">
        <f>SUM($C111:T111)</f>
      </c>
      <c r="U113" s="272">
        <f>SUM($C111:U111)</f>
      </c>
      <c r="V113" s="272">
        <f>SUM($C111:V111)</f>
      </c>
      <c r="W113" s="272">
        <f>SUM($C111:W111)</f>
      </c>
      <c r="X113" s="272">
        <f>SUM($C111:X111)</f>
      </c>
      <c r="Y113" s="272">
        <f>SUM($C111:Y111)</f>
      </c>
      <c r="Z113" s="272">
        <f>SUM($C111:Z111)</f>
      </c>
      <c r="AA113" s="272">
        <f>SUM($C111:AA111)</f>
      </c>
      <c r="AB113" s="272">
        <f>SUM($C111:AB111)</f>
      </c>
      <c r="AC113" s="272">
        <f>SUM($C111:AC111)</f>
      </c>
      <c r="AD113" s="272">
        <f>SUM($C111:AD111)</f>
      </c>
      <c r="AE113" s="272">
        <f>SUM($C111:AE111)</f>
      </c>
      <c r="AF113" s="272">
        <f>SUM($C111:AF111)</f>
      </c>
      <c r="AG113" s="272">
        <f>SUM($C111:AG111)</f>
      </c>
      <c r="AH113" s="272">
        <f>SUM($C111:AH111)</f>
      </c>
      <c r="AI113" s="272">
        <f>SUM($C111:AI111)</f>
      </c>
      <c r="AJ113" s="272">
        <f>SUM($C111:AJ111)</f>
      </c>
      <c r="AK113" s="272">
        <f>SUM($C111:AK111)</f>
      </c>
      <c r="AL113" s="272">
        <f>SUM($C111:AL111)</f>
      </c>
      <c r="AM113" s="272">
        <f>SUM($C111:AM111)</f>
      </c>
      <c r="AN113" s="272">
        <f>SUM($C111:AN111)</f>
      </c>
      <c r="AO113" s="272">
        <f>SUM($C111:AO111)</f>
      </c>
      <c r="AP113" s="272">
        <f>SUM($C111:AP111)</f>
      </c>
      <c r="AQ113" s="272">
        <f>SUM($C111:AQ111)</f>
      </c>
      <c r="AR113" s="272">
        <f>SUM($C111:AR111)</f>
      </c>
      <c r="AS113" s="272">
        <f>SUM($C111:AS111)</f>
      </c>
      <c r="AT113" s="272">
        <f>SUM($C111:AT111)</f>
      </c>
      <c r="AU113" s="272">
        <f>SUM($C111:AU111)</f>
      </c>
      <c r="AV113" s="272">
        <f>SUM($C111:AV111)</f>
      </c>
      <c r="AW113" s="272">
        <f>SUM($C111:AW111)</f>
      </c>
      <c r="AX113" s="272">
        <f>SUM($C111:AX111)</f>
      </c>
      <c r="AY113" s="272">
        <f>SUM($C111:AY111)</f>
      </c>
      <c r="AZ113" s="272">
        <f>SUM($C111:AZ111)</f>
      </c>
      <c r="BA113" s="272">
        <f>SUM($C111:BA111)</f>
      </c>
      <c r="BB113" s="272">
        <f>SUM($C111:BB111)</f>
      </c>
      <c r="BC113" s="272">
        <f>SUM($C111:BC111)</f>
      </c>
      <c r="BD113" s="272">
        <f>SUM($C111:BD111)</f>
      </c>
      <c r="BE113" s="272">
        <f>SUM($C111:BE111)</f>
      </c>
      <c r="BF113" s="272">
        <f>SUM($C111:BF111)</f>
      </c>
      <c r="BG113" s="272">
        <f>SUM($C111:BG111)</f>
      </c>
      <c r="BH113" s="272">
        <f>SUM($C111:BH111)</f>
      </c>
      <c r="BI113" s="272">
        <f>SUM($C111:BI111)</f>
      </c>
      <c r="BJ113" s="272">
        <f>SUM($C111:BJ111)</f>
      </c>
    </row>
    <row r="114" spans="2:62" ht="15" customHeight="1" x14ac:dyDescent="0.2">
      <c r="B114" s="267"/>
      <c r="C114" s="264"/>
      <c r="D114" s="273">
        <f>IF(AND(C113&lt;0,D113&gt;=0,D111&gt;0),-C113/D111,"n/m")</f>
      </c>
      <c r="E114" s="273">
        <f>IF(AND(D113&lt;0,E113&gt;=0,E111&gt;0),-D113/E111,"n/m")</f>
      </c>
      <c r="F114" s="273">
        <f>IF(AND(E113&lt;0,F113&gt;=0,F111&gt;0),-E113/F111,"n/m")</f>
      </c>
      <c r="G114" s="273">
        <f>IF(AND(F113&lt;0,G113&gt;=0,G111&gt;0),-F113/G111,"n/m")</f>
      </c>
      <c r="H114" s="273">
        <f>IF(AND(G113&lt;0,H113&gt;=0,H111&gt;0),-G113/H111,"n/m")</f>
      </c>
      <c r="I114" s="273">
        <f>IF(AND(H113&lt;0,I113&gt;=0,I111&gt;0),-H113/I111,"n/m")</f>
      </c>
      <c r="J114" s="273">
        <f>IF(AND(I113&lt;0,J113&gt;=0,J111&gt;0),-I113/J111,"n/m")</f>
      </c>
      <c r="K114" s="273">
        <f>IF(AND(J113&lt;0,K113&gt;=0,K111&gt;0),-J113/K111,"n/m")</f>
      </c>
      <c r="L114" s="273">
        <f>IF(AND(K113&lt;0,L113&gt;=0,L111&gt;0),-K113/L111,"n/m")</f>
      </c>
      <c r="M114" s="273">
        <f>IF(AND(L113&lt;0,M113&gt;=0,M111&gt;0),-L113/M111,"n/m")</f>
      </c>
      <c r="N114" s="273">
        <f>IF(AND(M113&lt;0,N113&gt;=0,N111&gt;0),-M113/N111,"n/m")</f>
      </c>
      <c r="O114" s="273">
        <f>IF(AND(N113&lt;0,O113&gt;=0,O111&gt;0),-N113/O111,"n/m")</f>
      </c>
      <c r="P114" s="273">
        <f>IF(AND(O113&lt;0,P113&gt;=0,P111&gt;0),-O113/P111,"n/m")</f>
      </c>
      <c r="Q114" s="273">
        <f>IF(AND(P113&lt;0,Q113&gt;=0,Q111&gt;0),-P113/Q111,"n/m")</f>
      </c>
      <c r="R114" s="273">
        <f>IF(AND(Q113&lt;0,R113&gt;=0,R111&gt;0),-Q113/R111,"n/m")</f>
      </c>
      <c r="S114" s="273">
        <f>IF(AND(R113&lt;0,S113&gt;=0,S111&gt;0),-R113/S111,"n/m")</f>
      </c>
      <c r="T114" s="273">
        <f>IF(AND(S113&lt;0,T113&gt;=0,T111&gt;0),-S113/T111,"n/m")</f>
      </c>
      <c r="U114" s="273">
        <f>IF(AND(T113&lt;0,U113&gt;=0,U111&gt;0),-T113/U111,"n/m")</f>
      </c>
      <c r="V114" s="273">
        <f>IF(AND(U113&lt;0,V113&gt;=0,V111&gt;0),-U113/V111,"n/m")</f>
      </c>
      <c r="W114" s="273">
        <f>IF(AND(V113&lt;0,W113&gt;=0,W111&gt;0),-V113/W111,"n/m")</f>
      </c>
      <c r="X114" s="273">
        <f>IF(AND(W113&lt;0,X113&gt;=0,X111&gt;0),-W113/X111,"n/m")</f>
      </c>
      <c r="Y114" s="273">
        <f>IF(AND(X113&lt;0,Y113&gt;=0,Y111&gt;0),-X113/Y111,"n/m")</f>
      </c>
      <c r="Z114" s="273">
        <f>IF(AND(Y113&lt;0,Z113&gt;=0,Z111&gt;0),-Y113/Z111,"n/m")</f>
      </c>
      <c r="AA114" s="273">
        <f>IF(AND(Z113&lt;0,AA113&gt;=0,AA111&gt;0),-Z113/AA111,"n/m")</f>
      </c>
      <c r="AB114" s="273">
        <f>IF(AND(AA113&lt;0,AB113&gt;=0,AB111&gt;0),-AA113/AB111,"n/m")</f>
      </c>
      <c r="AC114" s="273">
        <f>IF(AND(AB113&lt;0,AC113&gt;=0,AC111&gt;0),-AB113/AC111,"n/m")</f>
      </c>
      <c r="AD114" s="273">
        <f>IF(AND(AC113&lt;0,AD113&gt;=0,AD111&gt;0),-AC113/AD111,"n/m")</f>
      </c>
      <c r="AE114" s="273">
        <f>IF(AND(AD113&lt;0,AE113&gt;=0,AE111&gt;0),-AD113/AE111,"n/m")</f>
      </c>
      <c r="AF114" s="273">
        <f>IF(AND(AE113&lt;0,AF113&gt;=0,AF111&gt;0),-AE113/AF111,"n/m")</f>
      </c>
      <c r="AG114" s="273">
        <f>IF(AND(AF113&lt;0,AG113&gt;=0,AG111&gt;0),-AF113/AG111,"n/m")</f>
      </c>
      <c r="AH114" s="273">
        <f>IF(AND(AG113&lt;0,AH113&gt;=0,AH111&gt;0),-AG113/AH111,"n/m")</f>
      </c>
      <c r="AI114" s="273">
        <f>IF(AND(AH113&lt;0,AI113&gt;=0,AI111&gt;0),-AH113/AI111,"n/m")</f>
      </c>
      <c r="AJ114" s="273">
        <f>IF(AND(AI113&lt;0,AJ113&gt;=0,AJ111&gt;0),-AI113/AJ111,"n/m")</f>
      </c>
      <c r="AK114" s="273">
        <f>IF(AND(AJ113&lt;0,AK113&gt;=0,AK111&gt;0),-AJ113/AK111,"n/m")</f>
      </c>
      <c r="AL114" s="273">
        <f>IF(AND(AK113&lt;0,AL113&gt;=0,AL111&gt;0),-AK113/AL111,"n/m")</f>
      </c>
      <c r="AM114" s="273">
        <f>IF(AND(AL113&lt;0,AM113&gt;=0,AM111&gt;0),-AL113/AM111,"n/m")</f>
      </c>
      <c r="AN114" s="273">
        <f>IF(AND(AM113&lt;0,AN113&gt;=0,AN111&gt;0),-AM113/AN111,"n/m")</f>
      </c>
      <c r="AO114" s="273">
        <f>IF(AND(AN113&lt;0,AO113&gt;=0,AO111&gt;0),-AN113/AO111,"n/m")</f>
      </c>
      <c r="AP114" s="273">
        <f>IF(AND(AO113&lt;0,AP113&gt;=0,AP111&gt;0),-AO113/AP111,"n/m")</f>
      </c>
      <c r="AQ114" s="273">
        <f>IF(AND(AP113&lt;0,AQ113&gt;=0,AQ111&gt;0),-AP113/AQ111,"n/m")</f>
      </c>
      <c r="AR114" s="273">
        <f>IF(AND(AQ113&lt;0,AR113&gt;=0,AR111&gt;0),-AQ113/AR111,"n/m")</f>
      </c>
      <c r="AS114" s="273">
        <f>IF(AND(AR113&lt;0,AS113&gt;=0,AS111&gt;0),-AR113/AS111,"n/m")</f>
      </c>
      <c r="AT114" s="273">
        <f>IF(AND(AS113&lt;0,AT113&gt;=0,AT111&gt;0),-AS113/AT111,"n/m")</f>
      </c>
      <c r="AU114" s="273">
        <f>IF(AND(AT113&lt;0,AU113&gt;=0,AU111&gt;0),-AT113/AU111,"n/m")</f>
      </c>
      <c r="AV114" s="273">
        <f>IF(AND(AU113&lt;0,AV113&gt;=0,AV111&gt;0),-AU113/AV111,"n/m")</f>
      </c>
      <c r="AW114" s="273">
        <f>IF(AND(AV113&lt;0,AW113&gt;=0,AW111&gt;0),-AV113/AW111,"n/m")</f>
      </c>
      <c r="AX114" s="273">
        <f>IF(AND(AW113&lt;0,AX113&gt;=0,AX111&gt;0),-AW113/AX111,"n/m")</f>
      </c>
      <c r="AY114" s="273">
        <f>IF(AND(AX113&lt;0,AY113&gt;=0,AY111&gt;0),-AX113/AY111,"n/m")</f>
      </c>
      <c r="AZ114" s="273">
        <f>IF(AND(AY113&lt;0,AZ113&gt;=0,AZ111&gt;0),-AY113/AZ111,"n/m")</f>
      </c>
      <c r="BA114" s="273">
        <f>IF(AND(AZ113&lt;0,BA113&gt;=0,BA111&gt;0),-AZ113/BA111,"n/m")</f>
      </c>
      <c r="BB114" s="273">
        <f>IF(AND(BA113&lt;0,BB113&gt;=0,BB111&gt;0),-BA113/BB111,"n/m")</f>
      </c>
      <c r="BC114" s="273">
        <f>IF(AND(BB113&lt;0,BC113&gt;=0,BC111&gt;0),-BB113/BC111,"n/m")</f>
      </c>
      <c r="BD114" s="273">
        <f>IF(AND(BC113&lt;0,BD113&gt;=0,BD111&gt;0),-BC113/BD111,"n/m")</f>
      </c>
      <c r="BE114" s="273">
        <f>IF(AND(BD113&lt;0,BE113&gt;=0,BE111&gt;0),-BD113/BE111,"n/m")</f>
      </c>
      <c r="BF114" s="273">
        <f>IF(AND(BE113&lt;0,BF113&gt;=0,BF111&gt;0),-BE113/BF111,"n/m")</f>
      </c>
      <c r="BG114" s="273">
        <f>IF(AND(BF113&lt;0,BG113&gt;=0,BG111&gt;0),-BF113/BG111,"n/m")</f>
      </c>
      <c r="BH114" s="273">
        <f>IF(AND(BG113&lt;0,BH113&gt;=0,BH111&gt;0),-BG113/BH111,"n/m")</f>
      </c>
      <c r="BI114" s="273">
        <f>IF(AND(BH113&lt;0,BI113&gt;=0,BI111&gt;0),-BH113/BI111,"n/m")</f>
      </c>
      <c r="BJ114" s="273">
        <f>IF(AND(BI113&lt;0,BJ113&gt;=0,BJ111&gt;0),-BI113/BJ111,"n/m")</f>
      </c>
    </row>
    <row r="115" spans="2:62" ht="15" customHeight="1" x14ac:dyDescent="0.2">
      <c r="B115" s="264"/>
      <c r="C115" s="264"/>
      <c r="E115" s="264"/>
      <c r="F115" s="264"/>
      <c r="G115" s="264"/>
      <c r="H115" s="274"/>
      <c r="I115" s="264"/>
      <c r="J115" s="264"/>
    </row>
    <row r="116" spans="2:62" ht="15" customHeight="1" x14ac:dyDescent="0.2">
      <c r="B116" s="264"/>
      <c r="C116" s="264"/>
      <c r="D116" s="264"/>
      <c r="E116" s="264"/>
      <c r="F116" s="264"/>
      <c r="G116" s="264"/>
      <c r="H116" s="274"/>
      <c r="I116" s="264"/>
      <c r="J116" s="264"/>
    </row>
    <row r="117" spans="2:62" ht="15" customHeight="1" x14ac:dyDescent="0.2">
      <c r="B117" s="267" t="s">
        <v>130</v>
      </c>
      <c r="C117" s="275">
        <f>IF(C110&lt;=0,0,IF(AND('Pricing'!H56&gt;0,C110&lt;='Pricing'!H56*'Pricing'!H4),C110/'Pricing'!H56,"n/m"))</f>
      </c>
      <c r="E117" s="264"/>
      <c r="F117" s="264"/>
      <c r="G117" s="264"/>
      <c r="H117" s="264"/>
      <c r="I117" s="264"/>
      <c r="J117" s="264"/>
    </row>
    <row r="118" spans="2:62" ht="15" customHeight="1" x14ac:dyDescent="0.2">
      <c r="B118" s="264"/>
      <c r="C118" s="264"/>
      <c r="D118" s="264"/>
      <c r="E118" s="264"/>
      <c r="F118" s="264"/>
      <c r="G118" s="264"/>
      <c r="H118" s="264"/>
      <c r="I118" s="264"/>
      <c r="J118" s="264"/>
    </row>
    <row r="119" spans="2:62" ht="15" customHeight="1" x14ac:dyDescent="0.2">
      <c r="B119" s="264"/>
      <c r="C119" s="264"/>
      <c r="D119" s="264"/>
      <c r="E119" s="264"/>
      <c r="F119" s="264"/>
      <c r="G119" s="264"/>
      <c r="H119" s="264"/>
      <c r="I119" s="264"/>
      <c r="J119" s="264"/>
    </row>
    <row r="120" spans="2:62" ht="15" customHeight="1" x14ac:dyDescent="0.2">
      <c r="B120" s="276" t="s">
        <v>131</v>
      </c>
      <c r="C120" s="264"/>
      <c r="D120" s="264"/>
      <c r="E120" s="264"/>
      <c r="F120" s="264"/>
      <c r="G120" s="264"/>
      <c r="H120" s="264"/>
      <c r="I120" s="264"/>
      <c r="J120" s="264"/>
    </row>
    <row r="121" spans="2:62" ht="15" customHeight="1" x14ac:dyDescent="0.2">
      <c r="B121" s="267" t="s">
        <v>132</v>
      </c>
      <c r="C121" s="277">
        <f>IF(ISNUMBER(C117),INT(C117),"n/m")</f>
      </c>
      <c r="E121" s="264"/>
      <c r="F121" s="264"/>
      <c r="G121" s="264"/>
      <c r="H121" s="264"/>
      <c r="I121" s="264"/>
      <c r="J121" s="264"/>
    </row>
    <row r="122" spans="2:62" ht="15" customHeight="1" x14ac:dyDescent="0.2">
      <c r="B122" s="267" t="s">
        <v>133</v>
      </c>
      <c r="C122" s="277">
        <f>IF(ISNUMBER(C117),MOD(C117,1),"n/m")</f>
      </c>
      <c r="E122" s="264"/>
      <c r="F122" s="264"/>
      <c r="G122" s="264"/>
      <c r="H122" s="264"/>
      <c r="I122" s="264"/>
      <c r="J122" s="264"/>
    </row>
    <row r="123" spans="2:62" ht="15" customHeight="1" x14ac:dyDescent="0.2">
      <c r="B123" s="264"/>
      <c r="C123" s="264"/>
      <c r="D123" s="264"/>
      <c r="E123" s="264"/>
      <c r="F123" s="264"/>
      <c r="G123" s="264"/>
      <c r="H123" s="264"/>
      <c r="I123" s="264"/>
      <c r="J123" s="264"/>
    </row>
    <row r="124" spans="2:62" ht="15" customHeight="1" x14ac:dyDescent="0.2">
      <c r="B124" s="264"/>
      <c r="C124" s="264"/>
      <c r="D124" s="264"/>
      <c r="E124" s="264"/>
      <c r="F124" s="264"/>
      <c r="G124" s="264"/>
      <c r="H124" s="264"/>
      <c r="I124" s="264"/>
      <c r="J124" s="264"/>
    </row>
    <row r="125" spans="2:62" ht="15" customHeight="1" x14ac:dyDescent="0.2">
      <c r="B125" s="278" t="s">
        <v>134</v>
      </c>
      <c r="C125" s="278"/>
      <c r="D125" s="278"/>
      <c r="E125" s="278"/>
      <c r="F125" s="278"/>
      <c r="G125" s="278"/>
      <c r="H125" s="278"/>
      <c r="I125" s="278"/>
      <c r="J125" s="267"/>
    </row>
    <row r="126" spans="2:62" ht="15" customHeight="1" x14ac:dyDescent="0.2">
      <c r="B126" s="267" t="s">
        <v>130</v>
      </c>
      <c r="C126" s="279">
        <f>C117</f>
      </c>
      <c r="D126" s="264"/>
    </row>
    <row r="127" spans="2:62" ht="15" customHeight="1" x14ac:dyDescent="0.2">
      <c r="B127" s="264"/>
      <c r="D127" s="264"/>
      <c r="E127" s="264"/>
      <c r="F127" s="264"/>
      <c r="G127" s="264"/>
      <c r="H127" s="264"/>
      <c r="I127" s="264"/>
      <c r="J127" s="264"/>
    </row>
    <row r="128" spans="2:62" ht="15" customHeight="1" x14ac:dyDescent="0.2">
      <c r="B128" s="264"/>
      <c r="D128" s="264"/>
      <c r="E128" s="264"/>
      <c r="F128" s="264"/>
      <c r="G128" s="264"/>
      <c r="H128" s="264"/>
      <c r="I128" s="264"/>
      <c r="J128" s="264"/>
    </row>
    <row r="131" spans="2:62" s="280" customFormat="1" ht="30.75" customHeight="1" x14ac:dyDescent="0.2">
      <c r="B131" s="281" t="s">
        <v>19</v>
      </c>
      <c r="C131" s="282">
        <v>0</v>
      </c>
      <c r="D131" s="282">
        <f>C131+1</f>
      </c>
      <c r="E131" s="282">
        <f>D131+1</f>
      </c>
      <c r="F131" s="282">
        <f>E131+1</f>
      </c>
      <c r="G131" s="282">
        <f>F131+1</f>
      </c>
      <c r="H131" s="282">
        <f>G131+1</f>
      </c>
      <c r="I131" s="282">
        <f>H131+1</f>
      </c>
      <c r="J131" s="282">
        <f>I131+1</f>
      </c>
      <c r="K131" s="282">
        <f>J131+1</f>
      </c>
      <c r="L131" s="282">
        <f>K131+1</f>
      </c>
      <c r="M131" s="282">
        <f>L131+1</f>
      </c>
      <c r="N131" s="282">
        <f>M131+1</f>
      </c>
      <c r="O131" s="282">
        <f>N131+1</f>
      </c>
      <c r="P131" s="282">
        <f>O131+1</f>
      </c>
      <c r="Q131" s="282">
        <f>P131+1</f>
      </c>
      <c r="R131" s="282">
        <f>Q131+1</f>
      </c>
      <c r="S131" s="282">
        <f>R131+1</f>
      </c>
      <c r="T131" s="282">
        <f>S131+1</f>
      </c>
      <c r="U131" s="282">
        <f>T131+1</f>
      </c>
      <c r="V131" s="282">
        <f>U131+1</f>
      </c>
      <c r="W131" s="282">
        <f>V131+1</f>
      </c>
      <c r="X131" s="282">
        <f>W131+1</f>
      </c>
      <c r="Y131" s="282">
        <f>X131+1</f>
      </c>
      <c r="Z131" s="282">
        <f>Y131+1</f>
      </c>
      <c r="AA131" s="282">
        <f>Z131+1</f>
      </c>
      <c r="AB131" s="282">
        <f>AA131+1</f>
      </c>
      <c r="AC131" s="282">
        <f>AB131+1</f>
      </c>
      <c r="AD131" s="282">
        <f>AC131+1</f>
      </c>
      <c r="AE131" s="282">
        <f>AD131+1</f>
      </c>
      <c r="AF131" s="282">
        <f>AE131+1</f>
      </c>
      <c r="AG131" s="282">
        <f>AF131+1</f>
      </c>
      <c r="AH131" s="282">
        <f>AG131+1</f>
      </c>
      <c r="AI131" s="282">
        <f>AH131+1</f>
      </c>
      <c r="AJ131" s="282">
        <f>AI131+1</f>
      </c>
      <c r="AK131" s="282">
        <f>AJ131+1</f>
      </c>
      <c r="AL131" s="282">
        <f>AK131+1</f>
      </c>
      <c r="AM131" s="282">
        <f>AL131+1</f>
      </c>
      <c r="AN131" s="282">
        <f>AM131+1</f>
      </c>
      <c r="AO131" s="282">
        <f>AN131+1</f>
      </c>
      <c r="AP131" s="282">
        <f>AO131+1</f>
      </c>
      <c r="AQ131" s="282">
        <f>AP131+1</f>
      </c>
      <c r="AR131" s="282">
        <f>AQ131+1</f>
      </c>
      <c r="AS131" s="282">
        <f>AR131+1</f>
      </c>
      <c r="AT131" s="282">
        <f>AS131+1</f>
      </c>
      <c r="AU131" s="282">
        <f>AT131+1</f>
      </c>
      <c r="AV131" s="282">
        <f>AU131+1</f>
      </c>
      <c r="AW131" s="282">
        <f>AV131+1</f>
      </c>
      <c r="AX131" s="282">
        <f>AW131+1</f>
      </c>
      <c r="AY131" s="282">
        <f>AX131+1</f>
      </c>
      <c r="AZ131" s="282">
        <f>AY131+1</f>
      </c>
      <c r="BA131" s="282">
        <f>AZ131+1</f>
      </c>
      <c r="BB131" s="282">
        <f>BA131+1</f>
      </c>
      <c r="BC131" s="282">
        <f>BB131+1</f>
      </c>
      <c r="BD131" s="282">
        <f>BC131+1</f>
      </c>
      <c r="BE131" s="282">
        <f>BD131+1</f>
      </c>
      <c r="BF131" s="282">
        <f>BE131+1</f>
      </c>
      <c r="BG131" s="282">
        <f>BF131+1</f>
      </c>
      <c r="BH131" s="282">
        <f>BG131+1</f>
      </c>
      <c r="BI131" s="282">
        <f>BH131+1</f>
      </c>
      <c r="BJ131" s="282">
        <f>BI131+1</f>
      </c>
    </row>
    <row r="132" spans="2:62" s="280" customFormat="1" ht="15" customHeight="1" x14ac:dyDescent="0.2">
      <c r="B132" s="283" t="s">
        <v>125</v>
      </c>
      <c r="C132" s="285"/>
      <c r="D132" s="295">
        <f>SUM(Pricing!I56)</f>
      </c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285"/>
      <c r="AE132" s="285"/>
      <c r="AF132" s="285"/>
      <c r="AG132" s="285"/>
      <c r="AH132" s="285"/>
      <c r="AI132" s="285"/>
      <c r="AJ132" s="285"/>
      <c r="AK132" s="285"/>
      <c r="AL132" s="285"/>
      <c r="AM132" s="285"/>
      <c r="AN132" s="285"/>
      <c r="AO132" s="285"/>
      <c r="AP132" s="285"/>
      <c r="AQ132" s="285"/>
      <c r="AR132" s="285"/>
      <c r="AS132" s="285"/>
      <c r="AT132" s="285"/>
      <c r="AU132" s="285"/>
      <c r="AV132" s="285"/>
      <c r="AW132" s="285"/>
      <c r="AX132" s="285"/>
      <c r="AY132" s="285"/>
      <c r="AZ132" s="285"/>
      <c r="BA132" s="285"/>
      <c r="BB132" s="285"/>
      <c r="BC132" s="285"/>
      <c r="BD132" s="285"/>
      <c r="BE132" s="285"/>
      <c r="BF132" s="285"/>
      <c r="BG132" s="285"/>
      <c r="BH132" s="285"/>
      <c r="BI132" s="285"/>
      <c r="BJ132" s="285"/>
    </row>
    <row r="133" spans="2:62" s="280" customFormat="1" ht="15" customHeight="1" x14ac:dyDescent="0.2">
      <c r="B133" s="283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B133" s="285"/>
      <c r="AC133" s="285"/>
      <c r="AD133" s="285"/>
      <c r="AE133" s="285"/>
      <c r="AF133" s="285"/>
      <c r="AG133" s="285"/>
      <c r="AH133" s="285"/>
      <c r="AI133" s="285"/>
      <c r="AJ133" s="285"/>
      <c r="AK133" s="285"/>
      <c r="AL133" s="285"/>
      <c r="AM133" s="285"/>
      <c r="AN133" s="285"/>
      <c r="AO133" s="285"/>
      <c r="AP133" s="285"/>
      <c r="AQ133" s="285"/>
      <c r="AR133" s="285"/>
      <c r="AS133" s="285"/>
      <c r="AT133" s="285"/>
      <c r="AU133" s="285"/>
      <c r="AV133" s="285"/>
      <c r="AW133" s="285"/>
      <c r="AX133" s="285"/>
      <c r="AY133" s="285"/>
      <c r="AZ133" s="285"/>
      <c r="BA133" s="285"/>
      <c r="BB133" s="285"/>
      <c r="BC133" s="285"/>
      <c r="BD133" s="285"/>
      <c r="BE133" s="285"/>
      <c r="BF133" s="285"/>
      <c r="BG133" s="285"/>
      <c r="BH133" s="285"/>
      <c r="BI133" s="285"/>
      <c r="BJ133" s="285"/>
    </row>
    <row r="134" spans="2:62" s="280" customFormat="1" ht="15" customHeight="1" x14ac:dyDescent="0.2">
      <c r="B134" s="283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B134" s="285"/>
      <c r="AC134" s="285"/>
      <c r="AD134" s="285"/>
      <c r="AE134" s="285"/>
      <c r="AF134" s="285"/>
      <c r="AG134" s="285"/>
      <c r="AH134" s="285"/>
      <c r="AI134" s="285"/>
      <c r="AJ134" s="285"/>
      <c r="AK134" s="285"/>
      <c r="AL134" s="285"/>
      <c r="AM134" s="285"/>
      <c r="AN134" s="285"/>
      <c r="AO134" s="285"/>
      <c r="AP134" s="285"/>
      <c r="AQ134" s="285"/>
      <c r="AR134" s="285"/>
      <c r="AS134" s="285"/>
      <c r="AT134" s="285"/>
      <c r="AU134" s="285"/>
      <c r="AV134" s="285"/>
      <c r="AW134" s="285"/>
      <c r="AX134" s="285"/>
      <c r="AY134" s="285"/>
      <c r="AZ134" s="285"/>
      <c r="BA134" s="285"/>
      <c r="BB134" s="285"/>
      <c r="BC134" s="285"/>
      <c r="BD134" s="285"/>
      <c r="BE134" s="285"/>
      <c r="BF134" s="285"/>
      <c r="BG134" s="285"/>
      <c r="BH134" s="285"/>
      <c r="BI134" s="285"/>
      <c r="BJ134" s="285"/>
    </row>
    <row r="135" spans="2:62" s="280" customFormat="1" ht="15" customHeight="1" x14ac:dyDescent="0.2">
      <c r="B135" s="283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B135" s="285"/>
      <c r="AC135" s="285"/>
      <c r="AD135" s="285"/>
      <c r="AE135" s="285"/>
      <c r="AF135" s="285"/>
      <c r="AG135" s="285"/>
      <c r="AH135" s="285"/>
      <c r="AI135" s="285"/>
      <c r="AJ135" s="285"/>
      <c r="AK135" s="285"/>
      <c r="AL135" s="285"/>
      <c r="AM135" s="285"/>
      <c r="AN135" s="285"/>
      <c r="AO135" s="285"/>
      <c r="AP135" s="285"/>
      <c r="AQ135" s="285"/>
      <c r="AR135" s="285"/>
      <c r="AS135" s="285"/>
      <c r="AT135" s="285"/>
      <c r="AU135" s="285"/>
      <c r="AV135" s="285"/>
      <c r="AW135" s="285"/>
      <c r="AX135" s="285"/>
      <c r="AY135" s="285"/>
      <c r="AZ135" s="285"/>
      <c r="BA135" s="285"/>
      <c r="BB135" s="285"/>
      <c r="BC135" s="285"/>
      <c r="BD135" s="285"/>
      <c r="BE135" s="285"/>
      <c r="BF135" s="285"/>
      <c r="BG135" s="285"/>
      <c r="BH135" s="285"/>
      <c r="BI135" s="285"/>
      <c r="BJ135" s="285"/>
    </row>
    <row r="136" spans="2:62" s="280" customFormat="1" ht="15" customHeight="1" x14ac:dyDescent="0.2">
      <c r="B136" s="283" t="s">
        <v>127</v>
      </c>
      <c r="C136" s="266">
        <f>'Pricing'!I52-'Pricing'!I7-'Pricing'!I100</f>
      </c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  <c r="AK136" s="286"/>
      <c r="AL136" s="286"/>
      <c r="AM136" s="286"/>
      <c r="AN136" s="286"/>
      <c r="AO136" s="286"/>
      <c r="AP136" s="286"/>
      <c r="AQ136" s="286"/>
      <c r="AR136" s="286"/>
      <c r="AS136" s="286"/>
      <c r="AT136" s="286"/>
      <c r="AU136" s="286"/>
      <c r="AV136" s="286"/>
      <c r="AW136" s="286"/>
      <c r="AX136" s="286"/>
      <c r="AY136" s="286"/>
      <c r="AZ136" s="286"/>
      <c r="BA136" s="286"/>
      <c r="BB136" s="286"/>
      <c r="BC136" s="286"/>
      <c r="BD136" s="286"/>
      <c r="BE136" s="286"/>
      <c r="BF136" s="286"/>
      <c r="BG136" s="286"/>
      <c r="BH136" s="286"/>
      <c r="BI136" s="286"/>
      <c r="BJ136" s="286"/>
    </row>
    <row r="137" spans="2:62" s="280" customFormat="1" ht="15" customHeight="1" x14ac:dyDescent="0.2">
      <c r="B137" s="283" t="s">
        <v>128</v>
      </c>
      <c r="C137" s="286">
        <f>-C136</f>
      </c>
      <c r="D137" s="287">
        <f>IF(D$131&lt;='Pricing'!I$4,'Pricing'!I$56,0)</f>
      </c>
      <c r="E137" s="287">
        <f>IF(E$131&lt;='Pricing'!I$4,'Pricing'!I$56,0)</f>
      </c>
      <c r="F137" s="287">
        <f>IF(F$131&lt;='Pricing'!I$4,'Pricing'!I$56,0)</f>
      </c>
      <c r="G137" s="287">
        <f>IF(G$131&lt;='Pricing'!I$4,'Pricing'!I$56,0)</f>
      </c>
      <c r="H137" s="287">
        <f>IF(H$131&lt;='Pricing'!I$4,'Pricing'!I$56,0)</f>
      </c>
      <c r="I137" s="287">
        <f>IF(I$131&lt;='Pricing'!I$4,'Pricing'!I$56,0)</f>
      </c>
      <c r="J137" s="287">
        <f>IF(J$131&lt;='Pricing'!I$4,'Pricing'!I$56,0)</f>
      </c>
      <c r="K137" s="287">
        <f>IF(K$131&lt;='Pricing'!I$4,'Pricing'!I$56,0)</f>
      </c>
      <c r="L137" s="287">
        <f>IF(L$131&lt;='Pricing'!I$4,'Pricing'!I$56,0)</f>
      </c>
      <c r="M137" s="287">
        <f>IF(M$131&lt;='Pricing'!I$4,'Pricing'!I$56,0)</f>
      </c>
      <c r="N137" s="287">
        <f>IF(N$131&lt;='Pricing'!I$4,'Pricing'!I$56,0)</f>
      </c>
      <c r="O137" s="287">
        <f>IF(O$131&lt;='Pricing'!I$4,'Pricing'!I$56,0)</f>
      </c>
      <c r="P137" s="287">
        <f>IF(P$131&lt;='Pricing'!I$4,'Pricing'!I$56,0)</f>
      </c>
      <c r="Q137" s="287">
        <f>IF(Q$131&lt;='Pricing'!I$4,'Pricing'!I$56,0)</f>
      </c>
      <c r="R137" s="287">
        <f>IF(R$131&lt;='Pricing'!I$4,'Pricing'!I$56,0)</f>
      </c>
      <c r="S137" s="287">
        <f>IF(S$131&lt;='Pricing'!I$4,'Pricing'!I$56,0)</f>
      </c>
      <c r="T137" s="287">
        <f>IF(T$131&lt;='Pricing'!I$4,'Pricing'!I$56,0)</f>
      </c>
      <c r="U137" s="287">
        <f>IF(U$131&lt;='Pricing'!I$4,'Pricing'!I$56,0)</f>
      </c>
      <c r="V137" s="287">
        <f>IF(V$131&lt;='Pricing'!I$4,'Pricing'!I$56,0)</f>
      </c>
      <c r="W137" s="287">
        <f>IF(W$131&lt;='Pricing'!I$4,'Pricing'!I$56,0)</f>
      </c>
      <c r="X137" s="287">
        <f>IF(X$131&lt;='Pricing'!I$4,'Pricing'!I$56,0)</f>
      </c>
      <c r="Y137" s="287">
        <f>IF(Y$131&lt;='Pricing'!I$4,'Pricing'!I$56,0)</f>
      </c>
      <c r="Z137" s="287">
        <f>IF(Z$131&lt;='Pricing'!I$4,'Pricing'!I$56,0)</f>
      </c>
      <c r="AA137" s="287">
        <f>IF(AA$131&lt;='Pricing'!I$4,'Pricing'!I$56,0)</f>
      </c>
      <c r="AB137" s="287">
        <f>IF(AB$131&lt;='Pricing'!I$4,'Pricing'!I$56,0)</f>
      </c>
      <c r="AC137" s="287">
        <f>IF(AC$131&lt;='Pricing'!I$4,'Pricing'!I$56,0)</f>
      </c>
      <c r="AD137" s="287">
        <f>IF(AD$131&lt;='Pricing'!I$4,'Pricing'!I$56,0)</f>
      </c>
      <c r="AE137" s="287">
        <f>IF(AE$131&lt;='Pricing'!I$4,'Pricing'!I$56,0)</f>
      </c>
      <c r="AF137" s="287">
        <f>IF(AF$131&lt;='Pricing'!I$4,'Pricing'!I$56,0)</f>
      </c>
      <c r="AG137" s="287">
        <f>IF(AG$131&lt;='Pricing'!I$4,'Pricing'!I$56,0)</f>
      </c>
      <c r="AH137" s="287">
        <f>IF(AH$131&lt;='Pricing'!I$4,'Pricing'!I$56,0)</f>
      </c>
      <c r="AI137" s="287">
        <f>IF(AI$131&lt;='Pricing'!I$4,'Pricing'!I$56,0)</f>
      </c>
      <c r="AJ137" s="287">
        <f>IF(AJ$131&lt;='Pricing'!I$4,'Pricing'!I$56,0)</f>
      </c>
      <c r="AK137" s="287">
        <f>IF(AK$131&lt;='Pricing'!I$4,'Pricing'!I$56,0)</f>
      </c>
      <c r="AL137" s="287">
        <f>IF(AL$131&lt;='Pricing'!I$4,'Pricing'!I$56,0)</f>
      </c>
      <c r="AM137" s="287">
        <f>IF(AM$131&lt;='Pricing'!I$4,'Pricing'!I$56,0)</f>
      </c>
      <c r="AN137" s="287">
        <f>IF(AN$131&lt;='Pricing'!I$4,'Pricing'!I$56,0)</f>
      </c>
      <c r="AO137" s="287">
        <f>IF(AO$131&lt;='Pricing'!I$4,'Pricing'!I$56,0)</f>
      </c>
      <c r="AP137" s="287">
        <f>IF(AP$131&lt;='Pricing'!I$4,'Pricing'!I$56,0)</f>
      </c>
      <c r="AQ137" s="287">
        <f>IF(AQ$131&lt;='Pricing'!I$4,'Pricing'!I$56,0)</f>
      </c>
      <c r="AR137" s="287">
        <f>IF(AR$131&lt;='Pricing'!I$4,'Pricing'!I$56,0)</f>
      </c>
      <c r="AS137" s="287">
        <f>IF(AS$131&lt;='Pricing'!I$4,'Pricing'!I$56,0)</f>
      </c>
      <c r="AT137" s="287">
        <f>IF(AT$131&lt;='Pricing'!I$4,'Pricing'!I$56,0)</f>
      </c>
      <c r="AU137" s="287">
        <f>IF(AU$131&lt;='Pricing'!I$4,'Pricing'!I$56,0)</f>
      </c>
      <c r="AV137" s="287">
        <f>IF(AV$131&lt;='Pricing'!I$4,'Pricing'!I$56,0)</f>
      </c>
      <c r="AW137" s="287">
        <f>IF(AW$131&lt;='Pricing'!I$4,'Pricing'!I$56,0)</f>
      </c>
      <c r="AX137" s="287">
        <f>IF(AX$131&lt;='Pricing'!I$4,'Pricing'!I$56,0)</f>
      </c>
      <c r="AY137" s="287">
        <f>IF(AY$131&lt;='Pricing'!I$4,'Pricing'!I$56,0)</f>
      </c>
      <c r="AZ137" s="287">
        <f>IF(AZ$131&lt;='Pricing'!I$4,'Pricing'!I$56,0)</f>
      </c>
      <c r="BA137" s="287">
        <f>IF(BA$131&lt;='Pricing'!I$4,'Pricing'!I$56,0)</f>
      </c>
      <c r="BB137" s="287">
        <f>IF(BB$131&lt;='Pricing'!I$4,'Pricing'!I$56,0)</f>
      </c>
      <c r="BC137" s="287">
        <f>IF(BC$131&lt;='Pricing'!I$4,'Pricing'!I$56,0)</f>
      </c>
      <c r="BD137" s="287">
        <f>IF(BD$131&lt;='Pricing'!I$4,'Pricing'!I$56,0)</f>
      </c>
      <c r="BE137" s="287">
        <f>IF(BE$131&lt;='Pricing'!I$4,'Pricing'!I$56,0)</f>
      </c>
      <c r="BF137" s="287">
        <f>IF(BF$131&lt;='Pricing'!I$4,'Pricing'!I$56,0)</f>
      </c>
      <c r="BG137" s="287">
        <f>IF(BG$131&lt;='Pricing'!I$4,'Pricing'!I$56,0)</f>
      </c>
      <c r="BH137" s="287">
        <f>IF(BH$131&lt;='Pricing'!I$4,'Pricing'!I$56,0)</f>
      </c>
      <c r="BI137" s="287">
        <f>IF(BI$131&lt;='Pricing'!I$4,'Pricing'!I$56,0)</f>
      </c>
      <c r="BJ137" s="287">
        <f>IF(BJ$131&lt;='Pricing'!I$4,'Pricing'!I$56,0)</f>
      </c>
    </row>
    <row r="138" spans="2:62" s="280" customFormat="1" ht="15" customHeight="1" x14ac:dyDescent="0.2">
      <c r="B138" s="283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6"/>
      <c r="AU138" s="286"/>
      <c r="AV138" s="286"/>
      <c r="AW138" s="286"/>
      <c r="AX138" s="286"/>
      <c r="AY138" s="286"/>
      <c r="AZ138" s="286"/>
      <c r="BA138" s="286"/>
      <c r="BB138" s="286"/>
      <c r="BC138" s="286"/>
      <c r="BD138" s="286"/>
      <c r="BE138" s="286"/>
      <c r="BF138" s="286"/>
      <c r="BG138" s="286"/>
      <c r="BH138" s="286"/>
      <c r="BI138" s="286"/>
      <c r="BJ138" s="286"/>
    </row>
    <row r="139" spans="2:62" s="280" customFormat="1" ht="15" customHeight="1" x14ac:dyDescent="0.2">
      <c r="B139" s="288" t="s">
        <v>129</v>
      </c>
      <c r="C139" s="289">
        <f>C137</f>
      </c>
      <c r="D139" s="289">
        <f>SUM($C137:D137)</f>
      </c>
      <c r="E139" s="289">
        <f>SUM($C137:E137)</f>
      </c>
      <c r="F139" s="289">
        <f>SUM($C137:F137)</f>
      </c>
      <c r="G139" s="289">
        <f>SUM($C137:G137)</f>
      </c>
      <c r="H139" s="289">
        <f>SUM($C137:H137)</f>
      </c>
      <c r="I139" s="289">
        <f>SUM($C137:I137)</f>
      </c>
      <c r="J139" s="289">
        <f>SUM($C137:J137)</f>
      </c>
      <c r="K139" s="289">
        <f>SUM($C137:K137)</f>
      </c>
      <c r="L139" s="289">
        <f>SUM($C137:L137)</f>
      </c>
      <c r="M139" s="289">
        <f>SUM($C137:M137)</f>
      </c>
      <c r="N139" s="289">
        <f>SUM($C137:N137)</f>
      </c>
      <c r="O139" s="289">
        <f>SUM($C137:O137)</f>
      </c>
      <c r="P139" s="289">
        <f>SUM($C137:P137)</f>
      </c>
      <c r="Q139" s="289">
        <f>SUM($C137:Q137)</f>
      </c>
      <c r="R139" s="289">
        <f>SUM($C137:R137)</f>
      </c>
      <c r="S139" s="289">
        <f>SUM($C137:S137)</f>
      </c>
      <c r="T139" s="289">
        <f>SUM($C137:T137)</f>
      </c>
      <c r="U139" s="289">
        <f>SUM($C137:U137)</f>
      </c>
      <c r="V139" s="289">
        <f>SUM($C137:V137)</f>
      </c>
      <c r="W139" s="289">
        <f>SUM($C137:W137)</f>
      </c>
      <c r="X139" s="289">
        <f>SUM($C137:X137)</f>
      </c>
      <c r="Y139" s="289">
        <f>SUM($C137:Y137)</f>
      </c>
      <c r="Z139" s="289">
        <f>SUM($C137:Z137)</f>
      </c>
      <c r="AA139" s="289">
        <f>SUM($C137:AA137)</f>
      </c>
      <c r="AB139" s="289">
        <f>SUM($C137:AB137)</f>
      </c>
      <c r="AC139" s="289">
        <f>SUM($C137:AC137)</f>
      </c>
      <c r="AD139" s="289">
        <f>SUM($C137:AD137)</f>
      </c>
      <c r="AE139" s="289">
        <f>SUM($C137:AE137)</f>
      </c>
      <c r="AF139" s="289">
        <f>SUM($C137:AF137)</f>
      </c>
      <c r="AG139" s="289">
        <f>SUM($C137:AG137)</f>
      </c>
      <c r="AH139" s="289">
        <f>SUM($C137:AH137)</f>
      </c>
      <c r="AI139" s="289">
        <f>SUM($C137:AI137)</f>
      </c>
      <c r="AJ139" s="289">
        <f>SUM($C137:AJ137)</f>
      </c>
      <c r="AK139" s="289">
        <f>SUM($C137:AK137)</f>
      </c>
      <c r="AL139" s="289">
        <f>SUM($C137:AL137)</f>
      </c>
      <c r="AM139" s="289">
        <f>SUM($C137:AM137)</f>
      </c>
      <c r="AN139" s="289">
        <f>SUM($C137:AN137)</f>
      </c>
      <c r="AO139" s="289">
        <f>SUM($C137:AO137)</f>
      </c>
      <c r="AP139" s="289">
        <f>SUM($C137:AP137)</f>
      </c>
      <c r="AQ139" s="289">
        <f>SUM($C137:AQ137)</f>
      </c>
      <c r="AR139" s="289">
        <f>SUM($C137:AR137)</f>
      </c>
      <c r="AS139" s="289">
        <f>SUM($C137:AS137)</f>
      </c>
      <c r="AT139" s="289">
        <f>SUM($C137:AT137)</f>
      </c>
      <c r="AU139" s="289">
        <f>SUM($C137:AU137)</f>
      </c>
      <c r="AV139" s="289">
        <f>SUM($C137:AV137)</f>
      </c>
      <c r="AW139" s="289">
        <f>SUM($C137:AW137)</f>
      </c>
      <c r="AX139" s="289">
        <f>SUM($C137:AX137)</f>
      </c>
      <c r="AY139" s="289">
        <f>SUM($C137:AY137)</f>
      </c>
      <c r="AZ139" s="289">
        <f>SUM($C137:AZ137)</f>
      </c>
      <c r="BA139" s="289">
        <f>SUM($C137:BA137)</f>
      </c>
      <c r="BB139" s="289">
        <f>SUM($C137:BB137)</f>
      </c>
      <c r="BC139" s="289">
        <f>SUM($C137:BC137)</f>
      </c>
      <c r="BD139" s="289">
        <f>SUM($C137:BD137)</f>
      </c>
      <c r="BE139" s="289">
        <f>SUM($C137:BE137)</f>
      </c>
      <c r="BF139" s="289">
        <f>SUM($C137:BF137)</f>
      </c>
      <c r="BG139" s="289">
        <f>SUM($C137:BG137)</f>
      </c>
      <c r="BH139" s="289">
        <f>SUM($C137:BH137)</f>
      </c>
      <c r="BI139" s="289">
        <f>SUM($C137:BI137)</f>
      </c>
      <c r="BJ139" s="289">
        <f>SUM($C137:BJ137)</f>
      </c>
    </row>
    <row r="140" spans="2:62" s="280" customFormat="1" ht="15" customHeight="1" x14ac:dyDescent="0.2">
      <c r="B140" s="285"/>
      <c r="C140" s="283"/>
      <c r="D140" s="290">
        <f>IF(AND(C139&lt;0,D139&gt;=0,D137&gt;0),-C139/D137,"n/m")</f>
      </c>
      <c r="E140" s="290">
        <f>IF(AND(D139&lt;0,E139&gt;=0,E137&gt;0),-D139/E137,"n/m")</f>
      </c>
      <c r="F140" s="290">
        <f>IF(AND(E139&lt;0,F139&gt;=0,F137&gt;0),-E139/F137,"n/m")</f>
      </c>
      <c r="G140" s="290">
        <f>IF(AND(F139&lt;0,G139&gt;=0,G137&gt;0),-F139/G137,"n/m")</f>
      </c>
      <c r="H140" s="290">
        <f>IF(AND(G139&lt;0,H139&gt;=0,H137&gt;0),-G139/H137,"n/m")</f>
      </c>
      <c r="I140" s="290">
        <f>IF(AND(H139&lt;0,I139&gt;=0,I137&gt;0),-H139/I137,"n/m")</f>
      </c>
      <c r="J140" s="290">
        <f>IF(AND(I139&lt;0,J139&gt;=0,J137&gt;0),-I139/J137,"n/m")</f>
      </c>
      <c r="K140" s="290">
        <f>IF(AND(J139&lt;0,K139&gt;=0,K137&gt;0),-J139/K137,"n/m")</f>
      </c>
      <c r="L140" s="290">
        <f>IF(AND(K139&lt;0,L139&gt;=0,L137&gt;0),-K139/L137,"n/m")</f>
      </c>
      <c r="M140" s="290">
        <f>IF(AND(L139&lt;0,M139&gt;=0,M137&gt;0),-L139/M137,"n/m")</f>
      </c>
      <c r="N140" s="290">
        <f>IF(AND(M139&lt;0,N139&gt;=0,N137&gt;0),-M139/N137,"n/m")</f>
      </c>
      <c r="O140" s="290">
        <f>IF(AND(N139&lt;0,O139&gt;=0,O137&gt;0),-N139/O137,"n/m")</f>
      </c>
      <c r="P140" s="290">
        <f>IF(AND(O139&lt;0,P139&gt;=0,P137&gt;0),-O139/P137,"n/m")</f>
      </c>
      <c r="Q140" s="290">
        <f>IF(AND(P139&lt;0,Q139&gt;=0,Q137&gt;0),-P139/Q137,"n/m")</f>
      </c>
      <c r="R140" s="290">
        <f>IF(AND(Q139&lt;0,R139&gt;=0,R137&gt;0),-Q139/R137,"n/m")</f>
      </c>
      <c r="S140" s="290">
        <f>IF(AND(R139&lt;0,S139&gt;=0,S137&gt;0),-R139/S137,"n/m")</f>
      </c>
      <c r="T140" s="290">
        <f>IF(AND(S139&lt;0,T139&gt;=0,T137&gt;0),-S139/T137,"n/m")</f>
      </c>
      <c r="U140" s="290">
        <f>IF(AND(T139&lt;0,U139&gt;=0,U137&gt;0),-T139/U137,"n/m")</f>
      </c>
      <c r="V140" s="290">
        <f>IF(AND(U139&lt;0,V139&gt;=0,V137&gt;0),-U139/V137,"n/m")</f>
      </c>
      <c r="W140" s="290">
        <f>IF(AND(V139&lt;0,W139&gt;=0,W137&gt;0),-V139/W137,"n/m")</f>
      </c>
      <c r="X140" s="290">
        <f>IF(AND(W139&lt;0,X139&gt;=0,X137&gt;0),-W139/X137,"n/m")</f>
      </c>
      <c r="Y140" s="290">
        <f>IF(AND(X139&lt;0,Y139&gt;=0,Y137&gt;0),-X139/Y137,"n/m")</f>
      </c>
      <c r="Z140" s="290">
        <f>IF(AND(Y139&lt;0,Z139&gt;=0,Z137&gt;0),-Y139/Z137,"n/m")</f>
      </c>
      <c r="AA140" s="290">
        <f>IF(AND(Z139&lt;0,AA139&gt;=0,AA137&gt;0),-Z139/AA137,"n/m")</f>
      </c>
      <c r="AB140" s="290">
        <f>IF(AND(AA139&lt;0,AB139&gt;=0,AB137&gt;0),-AA139/AB137,"n/m")</f>
      </c>
      <c r="AC140" s="290">
        <f>IF(AND(AB139&lt;0,AC139&gt;=0,AC137&gt;0),-AB139/AC137,"n/m")</f>
      </c>
      <c r="AD140" s="290">
        <f>IF(AND(AC139&lt;0,AD139&gt;=0,AD137&gt;0),-AC139/AD137,"n/m")</f>
      </c>
      <c r="AE140" s="290">
        <f>IF(AND(AD139&lt;0,AE139&gt;=0,AE137&gt;0),-AD139/AE137,"n/m")</f>
      </c>
      <c r="AF140" s="290">
        <f>IF(AND(AE139&lt;0,AF139&gt;=0,AF137&gt;0),-AE139/AF137,"n/m")</f>
      </c>
      <c r="AG140" s="290">
        <f>IF(AND(AF139&lt;0,AG139&gt;=0,AG137&gt;0),-AF139/AG137,"n/m")</f>
      </c>
      <c r="AH140" s="290">
        <f>IF(AND(AG139&lt;0,AH139&gt;=0,AH137&gt;0),-AG139/AH137,"n/m")</f>
      </c>
      <c r="AI140" s="290">
        <f>IF(AND(AH139&lt;0,AI139&gt;=0,AI137&gt;0),-AH139/AI137,"n/m")</f>
      </c>
      <c r="AJ140" s="290">
        <f>IF(AND(AI139&lt;0,AJ139&gt;=0,AJ137&gt;0),-AI139/AJ137,"n/m")</f>
      </c>
      <c r="AK140" s="290">
        <f>IF(AND(AJ139&lt;0,AK139&gt;=0,AK137&gt;0),-AJ139/AK137,"n/m")</f>
      </c>
      <c r="AL140" s="290">
        <f>IF(AND(AK139&lt;0,AL139&gt;=0,AL137&gt;0),-AK139/AL137,"n/m")</f>
      </c>
      <c r="AM140" s="290">
        <f>IF(AND(AL139&lt;0,AM139&gt;=0,AM137&gt;0),-AL139/AM137,"n/m")</f>
      </c>
      <c r="AN140" s="290">
        <f>IF(AND(AM139&lt;0,AN139&gt;=0,AN137&gt;0),-AM139/AN137,"n/m")</f>
      </c>
      <c r="AO140" s="290">
        <f>IF(AND(AN139&lt;0,AO139&gt;=0,AO137&gt;0),-AN139/AO137,"n/m")</f>
      </c>
      <c r="AP140" s="290">
        <f>IF(AND(AO139&lt;0,AP139&gt;=0,AP137&gt;0),-AO139/AP137,"n/m")</f>
      </c>
      <c r="AQ140" s="290">
        <f>IF(AND(AP139&lt;0,AQ139&gt;=0,AQ137&gt;0),-AP139/AQ137,"n/m")</f>
      </c>
      <c r="AR140" s="290">
        <f>IF(AND(AQ139&lt;0,AR139&gt;=0,AR137&gt;0),-AQ139/AR137,"n/m")</f>
      </c>
      <c r="AS140" s="290">
        <f>IF(AND(AR139&lt;0,AS139&gt;=0,AS137&gt;0),-AR139/AS137,"n/m")</f>
      </c>
      <c r="AT140" s="290">
        <f>IF(AND(AS139&lt;0,AT139&gt;=0,AT137&gt;0),-AS139/AT137,"n/m")</f>
      </c>
      <c r="AU140" s="290">
        <f>IF(AND(AT139&lt;0,AU139&gt;=0,AU137&gt;0),-AT139/AU137,"n/m")</f>
      </c>
      <c r="AV140" s="290">
        <f>IF(AND(AU139&lt;0,AV139&gt;=0,AV137&gt;0),-AU139/AV137,"n/m")</f>
      </c>
      <c r="AW140" s="290">
        <f>IF(AND(AV139&lt;0,AW139&gt;=0,AW137&gt;0),-AV139/AW137,"n/m")</f>
      </c>
      <c r="AX140" s="290">
        <f>IF(AND(AW139&lt;0,AX139&gt;=0,AX137&gt;0),-AW139/AX137,"n/m")</f>
      </c>
      <c r="AY140" s="290">
        <f>IF(AND(AX139&lt;0,AY139&gt;=0,AY137&gt;0),-AX139/AY137,"n/m")</f>
      </c>
      <c r="AZ140" s="290">
        <f>IF(AND(AY139&lt;0,AZ139&gt;=0,AZ137&gt;0),-AY139/AZ137,"n/m")</f>
      </c>
      <c r="BA140" s="290">
        <f>IF(AND(AZ139&lt;0,BA139&gt;=0,BA137&gt;0),-AZ139/BA137,"n/m")</f>
      </c>
      <c r="BB140" s="290">
        <f>IF(AND(BA139&lt;0,BB139&gt;=0,BB137&gt;0),-BA139/BB137,"n/m")</f>
      </c>
      <c r="BC140" s="290">
        <f>IF(AND(BB139&lt;0,BC139&gt;=0,BC137&gt;0),-BB139/BC137,"n/m")</f>
      </c>
      <c r="BD140" s="290">
        <f>IF(AND(BC139&lt;0,BD139&gt;=0,BD137&gt;0),-BC139/BD137,"n/m")</f>
      </c>
      <c r="BE140" s="290">
        <f>IF(AND(BD139&lt;0,BE139&gt;=0,BE137&gt;0),-BD139/BE137,"n/m")</f>
      </c>
      <c r="BF140" s="290">
        <f>IF(AND(BE139&lt;0,BF139&gt;=0,BF137&gt;0),-BE139/BF137,"n/m")</f>
      </c>
      <c r="BG140" s="290">
        <f>IF(AND(BF139&lt;0,BG139&gt;=0,BG137&gt;0),-BF139/BG137,"n/m")</f>
      </c>
      <c r="BH140" s="290">
        <f>IF(AND(BG139&lt;0,BH139&gt;=0,BH137&gt;0),-BG139/BH137,"n/m")</f>
      </c>
      <c r="BI140" s="290">
        <f>IF(AND(BH139&lt;0,BI139&gt;=0,BI137&gt;0),-BH139/BI137,"n/m")</f>
      </c>
      <c r="BJ140" s="290">
        <f>IF(AND(BI139&lt;0,BJ139&gt;=0,BJ137&gt;0),-BI139/BJ137,"n/m")</f>
      </c>
    </row>
    <row r="141" spans="2:62" s="280" customFormat="1" ht="15" customHeight="1" x14ac:dyDescent="0.2">
      <c r="B141" s="283"/>
      <c r="C141" s="283"/>
      <c r="E141" s="283"/>
      <c r="F141" s="283"/>
      <c r="G141" s="283"/>
      <c r="H141" s="291"/>
      <c r="I141" s="283"/>
      <c r="J141" s="283"/>
    </row>
    <row r="142" spans="2:62" s="280" customFormat="1" ht="15" customHeight="1" x14ac:dyDescent="0.2">
      <c r="B142" s="283"/>
      <c r="C142" s="283"/>
      <c r="D142" s="283"/>
      <c r="E142" s="283"/>
      <c r="F142" s="283"/>
      <c r="G142" s="283"/>
      <c r="H142" s="291"/>
      <c r="I142" s="283"/>
      <c r="J142" s="283"/>
    </row>
    <row r="143" spans="2:62" s="280" customFormat="1" ht="15" customHeight="1" x14ac:dyDescent="0.2">
      <c r="B143" s="285" t="s">
        <v>130</v>
      </c>
      <c r="C143" s="292">
        <f>IF(C136&lt;=0,0,IF(AND('Pricing'!I56&gt;0,C136&lt;='Pricing'!I56*'Pricing'!I4),C136/'Pricing'!I56,"n/m"))</f>
      </c>
      <c r="E143" s="283"/>
      <c r="F143" s="283"/>
      <c r="G143" s="283"/>
      <c r="H143" s="283"/>
      <c r="I143" s="283"/>
      <c r="J143" s="283"/>
    </row>
    <row r="144" spans="2:62" s="280" customFormat="1" ht="15" customHeight="1" x14ac:dyDescent="0.2">
      <c r="B144" s="283"/>
      <c r="C144" s="283"/>
      <c r="D144" s="283"/>
      <c r="E144" s="283"/>
      <c r="F144" s="283"/>
      <c r="G144" s="283"/>
      <c r="H144" s="283"/>
      <c r="I144" s="283"/>
      <c r="J144" s="283"/>
    </row>
    <row r="145" spans="2:10" s="280" customFormat="1" ht="15" customHeight="1" x14ac:dyDescent="0.2">
      <c r="B145" s="283"/>
      <c r="C145" s="283"/>
      <c r="D145" s="283"/>
      <c r="E145" s="283"/>
      <c r="F145" s="283"/>
      <c r="G145" s="283"/>
      <c r="H145" s="283"/>
      <c r="I145" s="283"/>
      <c r="J145" s="283"/>
    </row>
    <row r="146" spans="2:10" s="280" customFormat="1" ht="15" customHeight="1" x14ac:dyDescent="0.2">
      <c r="B146" s="293" t="s">
        <v>131</v>
      </c>
      <c r="C146" s="283"/>
      <c r="D146" s="283"/>
      <c r="E146" s="283"/>
      <c r="F146" s="283"/>
      <c r="G146" s="283"/>
      <c r="H146" s="283"/>
      <c r="I146" s="283"/>
      <c r="J146" s="283"/>
    </row>
    <row r="147" spans="2:10" s="280" customFormat="1" ht="15" customHeight="1" x14ac:dyDescent="0.2">
      <c r="B147" s="285" t="s">
        <v>132</v>
      </c>
      <c r="C147" s="294">
        <f>IF(ISNUMBER(C143),INT(C143),"n/m")</f>
      </c>
      <c r="E147" s="283"/>
      <c r="F147" s="283"/>
      <c r="G147" s="283"/>
      <c r="H147" s="283"/>
      <c r="I147" s="283"/>
      <c r="J147" s="283"/>
    </row>
    <row r="148" spans="2:10" s="280" customFormat="1" ht="15" customHeight="1" x14ac:dyDescent="0.2">
      <c r="B148" s="285" t="s">
        <v>133</v>
      </c>
      <c r="C148" s="294">
        <f>IF(ISNUMBER(C143),MOD(C143,1),"n/m")</f>
      </c>
      <c r="E148" s="283"/>
      <c r="F148" s="283"/>
      <c r="G148" s="283"/>
      <c r="H148" s="283"/>
      <c r="I148" s="283"/>
      <c r="J148" s="283"/>
    </row>
    <row r="149" spans="2:10" s="280" customFormat="1" ht="15" customHeight="1" x14ac:dyDescent="0.2">
      <c r="B149" s="283"/>
      <c r="C149" s="283"/>
      <c r="D149" s="283"/>
      <c r="E149" s="283"/>
      <c r="F149" s="283"/>
      <c r="G149" s="283"/>
      <c r="H149" s="283"/>
      <c r="I149" s="283"/>
      <c r="J149" s="283"/>
    </row>
    <row r="150" spans="2:10" s="280" customFormat="1" ht="15" customHeight="1" x14ac:dyDescent="0.2">
      <c r="B150" s="283"/>
      <c r="C150" s="283"/>
      <c r="D150" s="283"/>
      <c r="E150" s="283"/>
      <c r="F150" s="283"/>
      <c r="G150" s="283"/>
      <c r="H150" s="283"/>
      <c r="I150" s="283"/>
      <c r="J150" s="283"/>
    </row>
    <row r="151" spans="2:10" s="280" customFormat="1" ht="15" customHeight="1" x14ac:dyDescent="0.2">
      <c r="B151" s="285" t="s">
        <v>134</v>
      </c>
      <c r="C151" s="285"/>
      <c r="D151" s="285"/>
      <c r="E151" s="285"/>
      <c r="F151" s="285"/>
      <c r="G151" s="285"/>
      <c r="H151" s="285"/>
      <c r="I151" s="285"/>
      <c r="J151" s="285"/>
    </row>
    <row r="152" spans="2:10" s="280" customFormat="1" ht="15" customHeight="1" x14ac:dyDescent="0.2">
      <c r="B152" s="285" t="s">
        <v>130</v>
      </c>
      <c r="C152" s="279">
        <f>C143</f>
      </c>
      <c r="D152" s="283"/>
    </row>
    <row r="153" spans="2:10" s="280" customFormat="1" ht="15" customHeight="1" x14ac:dyDescent="0.2">
      <c r="B153" s="283"/>
      <c r="D153" s="283"/>
      <c r="E153" s="283"/>
      <c r="F153" s="283"/>
      <c r="G153" s="283"/>
      <c r="H153" s="283"/>
      <c r="I153" s="283"/>
      <c r="J153" s="283"/>
    </row>
    <row r="154" spans="2:10" s="280" customFormat="1" ht="15" customHeight="1" x14ac:dyDescent="0.2">
      <c r="B154" s="283"/>
      <c r="D154" s="283"/>
      <c r="E154" s="283"/>
      <c r="F154" s="283"/>
      <c r="G154" s="283"/>
      <c r="H154" s="283"/>
      <c r="I154" s="283"/>
      <c r="J154" s="283"/>
    </row>
  </sheetData>
  <sheetProtection algorithmName="SHA-512" hashValue="r6nw3+bt8Bct9ocHXB46zP4b8tzo1g0zhLI9iCUASsQqMBE1tgxQNLJDhX0BrV/CJFsEuHiEjauWfxQvrd3t/A==" saltValue="7sFPDYbwd4Wh8Oecki+9cQ==" spinCount="100000" sheet="1" objects="1" scenarios="1"/>
  <mergeCells count="1">
    <mergeCell ref="C1:M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AV76"/>
  <sheetViews>
    <sheetView showGridLines="0" zoomScaleNormal="100" workbookViewId="0">
      <pane ySplit="16" topLeftCell="A17" activePane="bottomLeft" state="frozen"/>
      <selection pane="bottomLeft" activeCell="B10" sqref="B10:N16"/>
    </sheetView>
  </sheetViews>
  <sheetFormatPr baseColWidth="10" defaultColWidth="8.83203125" defaultRowHeight="15" outlineLevelRow="1" x14ac:dyDescent="0.2"/>
  <cols>
    <col min="2" max="2" width="34.1640625" customWidth="1"/>
    <col min="3" max="3" width="3.6640625" hidden="1" customWidth="1"/>
    <col min="4" max="4" width="16.6640625" customWidth="1"/>
    <col min="5" max="5" width="14.6640625" hidden="1" customWidth="1"/>
    <col min="6" max="6" width="16.6640625" style="15" customWidth="1"/>
    <col min="7" max="7" width="3.6640625" hidden="1" customWidth="1"/>
    <col min="8" max="8" width="16.6640625" style="15" customWidth="1"/>
    <col min="9" max="9" width="3.6640625" hidden="1" customWidth="1"/>
    <col min="10" max="10" width="16.6640625" style="15" customWidth="1"/>
    <col min="11" max="11" width="3.6640625" hidden="1" customWidth="1"/>
    <col min="12" max="12" width="16.6640625" style="15" customWidth="1"/>
    <col min="13" max="13" width="3.6640625" hidden="1" customWidth="1"/>
    <col min="14" max="14" width="16.6640625" style="15" customWidth="1"/>
    <col min="16" max="48" width="9" style="15" customWidth="1"/>
  </cols>
  <sheetData>
    <row r="1" spans="1:17" ht="21" customHeight="1" x14ac:dyDescent="0.3">
      <c r="B1" s="14">
        <f>Pricing!B1</f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s="15" customFormat="1" ht="22.5" customHeight="1" x14ac:dyDescent="0.2">
      <c r="A2" s="23"/>
      <c r="B2" s="423" t="s">
        <v>135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23"/>
      <c r="P2" s="23"/>
      <c r="Q2" s="23"/>
    </row>
    <row r="3" spans="1:17" s="15" customFormat="1" ht="15.75" customHeight="1" x14ac:dyDescent="0.2">
      <c r="A3" s="23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23"/>
      <c r="P3" s="23"/>
      <c r="Q3" s="23"/>
    </row>
    <row r="4" spans="1:17" s="15" customFormat="1" ht="15.75" customHeight="1" x14ac:dyDescent="0.2">
      <c r="A4" s="23"/>
      <c r="B4" s="298" t="s">
        <v>136</v>
      </c>
      <c r="C4" s="424" t="inlineStr">
        <is>
          <t xml:space="preserve"/>
        </is>
      </c>
      <c r="D4" s="424"/>
      <c r="E4" s="424"/>
      <c r="F4" s="424"/>
      <c r="G4" s="147"/>
      <c r="H4" s="147"/>
      <c r="I4" s="147"/>
      <c r="J4" s="147"/>
      <c r="K4" s="147"/>
      <c r="L4" s="147"/>
      <c r="M4" s="147"/>
      <c r="N4" s="147"/>
      <c r="O4" s="23"/>
      <c r="P4" s="23"/>
      <c r="Q4" s="23"/>
    </row>
    <row r="5" spans="1:17" s="15" customFormat="1" ht="15.75" customHeight="1" x14ac:dyDescent="0.2">
      <c r="A5" s="23"/>
      <c r="B5" s="298" t="s">
        <v>137</v>
      </c>
      <c r="C5" s="425" t="inlineStr">
        <is>
          <t xml:space="preserve"/>
        </is>
      </c>
      <c r="D5" s="425"/>
      <c r="E5" s="425"/>
      <c r="F5" s="425"/>
      <c r="G5" s="147"/>
      <c r="H5" s="147"/>
      <c r="I5" s="147"/>
      <c r="J5" s="147"/>
      <c r="K5" s="147"/>
      <c r="L5" s="147"/>
      <c r="M5" s="147"/>
      <c r="N5" s="147"/>
      <c r="O5" s="23"/>
      <c r="P5" s="23"/>
      <c r="Q5" s="23"/>
    </row>
    <row r="6" spans="1:17" s="15" customFormat="1" ht="15.75" customHeight="1" x14ac:dyDescent="0.2">
      <c r="A6" s="23"/>
      <c r="B6" s="298" t="s">
        <v>138</v>
      </c>
      <c r="C6" s="426" t="inlineStr">
        <is>
          <t xml:space="preserve"/>
        </is>
      </c>
      <c r="D6" s="426"/>
      <c r="E6" s="426"/>
      <c r="F6" s="426"/>
      <c r="G6" s="147"/>
      <c r="H6" s="147"/>
      <c r="I6" s="147"/>
      <c r="J6" s="147"/>
      <c r="K6" s="147"/>
      <c r="L6" s="147"/>
      <c r="M6" s="147"/>
      <c r="N6" s="147"/>
      <c r="O6" s="23"/>
      <c r="P6" s="23"/>
      <c r="Q6" s="23"/>
    </row>
    <row r="7" spans="1:17" s="15" customFormat="1" ht="15.75" customHeight="1" x14ac:dyDescent="0.2">
      <c r="A7" s="23"/>
      <c r="B7" s="300" t="s">
        <v>139</v>
      </c>
      <c r="C7" s="299"/>
      <c r="D7" s="299" t="inlineStr">
        <is>
          <t xml:space="preserve"/>
        </is>
      </c>
      <c r="E7" s="299"/>
      <c r="F7" s="299"/>
      <c r="G7" s="147"/>
      <c r="H7" s="147"/>
      <c r="I7" s="147"/>
      <c r="J7" s="147"/>
      <c r="K7" s="147"/>
      <c r="L7" s="147"/>
      <c r="M7" s="147"/>
      <c r="N7" s="147"/>
      <c r="O7" s="23"/>
      <c r="P7" s="23"/>
      <c r="Q7" s="23"/>
    </row>
    <row r="8" spans="1:17" s="15" customFormat="1" ht="15.75" customHeight="1" x14ac:dyDescent="0.2">
      <c r="A8" s="23"/>
      <c r="B8" s="149" t="s">
        <v>140</v>
      </c>
      <c r="C8" s="426" t="inlineStr">
        <is>
          <t xml:space="preserve"/>
        </is>
      </c>
      <c r="D8" s="426"/>
      <c r="E8" s="426"/>
      <c r="F8" s="426"/>
      <c r="G8" s="147"/>
      <c r="H8" s="147"/>
      <c r="I8" s="147"/>
      <c r="J8" s="147"/>
      <c r="K8" s="147"/>
      <c r="L8" s="147"/>
      <c r="M8" s="147"/>
      <c r="N8" s="147"/>
      <c r="O8" s="23"/>
      <c r="P8" s="23"/>
      <c r="Q8" s="23"/>
    </row>
    <row r="9" spans="1:17" s="15" customFormat="1" ht="15.75" customHeight="1" x14ac:dyDescent="0.2">
      <c r="A9" s="23"/>
      <c r="B9" s="423" t="s">
        <v>141</v>
      </c>
      <c r="C9" s="423"/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23"/>
      <c r="P9" s="23"/>
      <c r="Q9" s="23"/>
    </row>
    <row r="10" spans="1:17" ht="15" customHeight="1" x14ac:dyDescent="0.2">
      <c r="A10" s="23"/>
      <c r="B10" s="427" t="inlineStr">
        <is>
          <t xml:space="preserve"/>
        </is>
      </c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301"/>
      <c r="P10" s="23"/>
      <c r="Q10" s="23"/>
    </row>
    <row r="11" spans="1:17" ht="15" customHeight="1" x14ac:dyDescent="0.2">
      <c r="A11" s="23"/>
      <c r="B11" s="427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427"/>
      <c r="O11" s="301"/>
      <c r="P11" s="23"/>
      <c r="Q11" s="23"/>
    </row>
    <row r="12" spans="1:17" ht="15" customHeight="1" x14ac:dyDescent="0.2">
      <c r="A12" s="23"/>
      <c r="B12" s="427"/>
      <c r="C12" s="427"/>
      <c r="D12" s="427"/>
      <c r="E12" s="427"/>
      <c r="F12" s="427"/>
      <c r="G12" s="427"/>
      <c r="H12" s="427"/>
      <c r="I12" s="427"/>
      <c r="J12" s="427"/>
      <c r="K12" s="427"/>
      <c r="L12" s="427"/>
      <c r="M12" s="427"/>
      <c r="N12" s="427"/>
      <c r="O12" s="301"/>
      <c r="P12" s="23"/>
      <c r="Q12" s="23"/>
    </row>
    <row r="13" spans="1:17" ht="15" customHeight="1" x14ac:dyDescent="0.2">
      <c r="A13" s="23"/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301"/>
      <c r="P13" s="23"/>
      <c r="Q13" s="23"/>
    </row>
    <row r="14" spans="1:17" ht="15" customHeight="1" x14ac:dyDescent="0.2">
      <c r="A14" s="23"/>
      <c r="B14" s="427"/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301"/>
      <c r="P14" s="23"/>
      <c r="Q14" s="23"/>
    </row>
    <row r="15" spans="1:17" ht="15" customHeight="1" x14ac:dyDescent="0.2">
      <c r="A15" s="23"/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301"/>
      <c r="P15" s="23"/>
      <c r="Q15" s="23"/>
    </row>
    <row r="16" spans="1:17" ht="15" customHeight="1" x14ac:dyDescent="0.2">
      <c r="A16" s="23"/>
      <c r="B16" s="427"/>
      <c r="C16" s="427"/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7"/>
      <c r="O16" s="301"/>
      <c r="P16" s="23"/>
      <c r="Q16" s="23"/>
    </row>
    <row r="17" spans="1:17" s="15" customFormat="1" ht="1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 ht="15.75" customHeight="1" x14ac:dyDescent="0.2">
      <c r="A18" s="23"/>
      <c r="B18" s="428" t="s">
        <v>142</v>
      </c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8"/>
      <c r="N18" s="428"/>
      <c r="O18" s="23"/>
      <c r="P18" s="23"/>
      <c r="Q18" s="23"/>
    </row>
    <row r="19" spans="1:17" ht="15.75" customHeight="1" outlineLevel="1" x14ac:dyDescent="0.2">
      <c r="A19" s="23"/>
      <c r="B19" s="302" t="s">
        <v>90</v>
      </c>
      <c r="C19" s="303"/>
      <c r="D19" s="304"/>
      <c r="E19" s="305"/>
      <c r="F19" s="144" t="s">
        <v>143</v>
      </c>
      <c r="G19" s="305"/>
      <c r="H19" s="144" t="s">
        <v>144</v>
      </c>
      <c r="I19" s="305"/>
      <c r="J19" s="144" t="s">
        <v>145</v>
      </c>
      <c r="K19" s="305"/>
      <c r="L19" s="144" t="s">
        <v>146</v>
      </c>
      <c r="M19" s="305"/>
      <c r="N19" s="145" t="s">
        <v>147</v>
      </c>
      <c r="P19" s="23"/>
      <c r="Q19" s="23"/>
    </row>
    <row r="20" spans="1:17" ht="45.75" customHeight="1" outlineLevel="1" x14ac:dyDescent="0.2">
      <c r="A20" s="23"/>
      <c r="B20" s="306" t="s">
        <v>49</v>
      </c>
      <c r="C20" s="307"/>
      <c r="D20" s="308" t="s">
        <v>50</v>
      </c>
      <c r="E20" s="147"/>
      <c r="F20" s="309">
        <f>'Pricing'!E3</f>
      </c>
      <c r="G20" s="310">
        <v>0</v>
      </c>
      <c r="H20" s="309">
        <f>'Pricing'!F3</f>
      </c>
      <c r="I20" s="310"/>
      <c r="J20" s="309">
        <f>'Pricing'!G3</f>
      </c>
      <c r="K20" s="310"/>
      <c r="L20" s="309">
        <f>'Pricing'!H3</f>
      </c>
      <c r="M20" s="310"/>
      <c r="N20" s="311">
        <f>'Pricing'!I3</f>
      </c>
      <c r="O20" s="15"/>
      <c r="P20" s="23"/>
      <c r="Q20" s="23"/>
    </row>
    <row r="21" spans="1:17" ht="15.75" customHeight="1" outlineLevel="1" x14ac:dyDescent="0.2">
      <c r="A21" s="23"/>
      <c r="B21" s="306" t="s">
        <v>51</v>
      </c>
      <c r="C21" s="307"/>
      <c r="D21" s="308" t="s">
        <v>50</v>
      </c>
      <c r="E21" s="147"/>
      <c r="F21" s="312">
        <f>'Pricing'!E4</f>
      </c>
      <c r="G21" s="313">
        <f>SUM(Pricing!F4)</f>
      </c>
      <c r="H21" s="312">
        <f>'Pricing'!F4</f>
      </c>
      <c r="I21" s="313">
        <f>SUM(Pricing!H4)</f>
      </c>
      <c r="J21" s="312">
        <f>'Pricing'!G4</f>
      </c>
      <c r="K21" s="313">
        <f>SUM(Pricing!J4)</f>
      </c>
      <c r="L21" s="312">
        <f>'Pricing'!H4</f>
      </c>
      <c r="M21" s="313">
        <f>SUM(Pricing!L4)</f>
      </c>
      <c r="N21" s="314">
        <f>'Pricing'!I4</f>
      </c>
      <c r="O21" s="15"/>
      <c r="P21" s="23"/>
      <c r="Q21" s="23"/>
    </row>
    <row r="22" spans="1:17" ht="15.75" customHeight="1" outlineLevel="1" x14ac:dyDescent="0.2">
      <c r="A22" s="23"/>
      <c r="B22" s="315" t="s">
        <v>148</v>
      </c>
      <c r="C22" s="307"/>
      <c r="D22" s="308" t="s">
        <v>50</v>
      </c>
      <c r="E22" s="147"/>
      <c r="F22" s="312">
        <f>'Pricing'!E5</f>
      </c>
      <c r="G22" s="313">
        <f>SUM(Pricing!F5)</f>
      </c>
      <c r="H22" s="312">
        <f>'Pricing'!F5</f>
      </c>
      <c r="I22" s="313">
        <f>SUM(Pricing!H5)</f>
      </c>
      <c r="J22" s="312">
        <f>'Pricing'!G5</f>
      </c>
      <c r="K22" s="313">
        <f>SUM(Pricing!J5)</f>
      </c>
      <c r="L22" s="312">
        <f>'Pricing'!H5</f>
      </c>
      <c r="M22" s="313">
        <f>SUM(Pricing!L5)</f>
      </c>
      <c r="N22" s="314">
        <f>'Pricing'!I5</f>
      </c>
      <c r="O22" s="15"/>
      <c r="P22" s="23"/>
      <c r="Q22" s="23"/>
    </row>
    <row r="23" spans="1:17" ht="15.75" customHeight="1" outlineLevel="1" x14ac:dyDescent="0.2">
      <c r="A23" s="23"/>
      <c r="B23" s="143" t="s">
        <v>149</v>
      </c>
      <c r="C23" s="316"/>
      <c r="D23" s="317" t="s">
        <v>56</v>
      </c>
      <c r="E23" s="318"/>
      <c r="F23" s="319"/>
      <c r="G23" s="320"/>
      <c r="H23" s="319"/>
      <c r="I23" s="320"/>
      <c r="J23" s="319"/>
      <c r="K23" s="320"/>
      <c r="L23" s="319"/>
      <c r="M23" s="320"/>
      <c r="N23" s="321"/>
      <c r="O23" s="15"/>
      <c r="P23" s="23"/>
      <c r="Q23" s="23"/>
    </row>
    <row r="24" spans="1:17" ht="15.75" customHeight="1" outlineLevel="1" x14ac:dyDescent="0.2">
      <c r="A24" s="23"/>
      <c r="B24" s="322" t="s">
        <v>91</v>
      </c>
      <c r="C24" s="149"/>
      <c r="D24" s="323">
        <f>'Pricing'!D52</f>
      </c>
      <c r="E24" s="324"/>
      <c r="F24" s="325">
        <f>'Pricing'!E52</f>
      </c>
      <c r="G24" s="324"/>
      <c r="H24" s="325">
        <f>'Pricing'!F52</f>
      </c>
      <c r="I24" s="324"/>
      <c r="J24" s="325">
        <f>'Pricing'!G52</f>
      </c>
      <c r="K24" s="324"/>
      <c r="L24" s="325">
        <f>'Pricing'!H52</f>
      </c>
      <c r="M24" s="324"/>
      <c r="N24" s="326">
        <f>'Pricing'!I52</f>
      </c>
      <c r="O24" s="15"/>
      <c r="P24" s="23"/>
      <c r="Q24" s="23"/>
    </row>
    <row r="25" spans="1:17" ht="15.75" customHeight="1" outlineLevel="1" x14ac:dyDescent="0.2">
      <c r="A25" s="23"/>
      <c r="B25" s="322" t="s">
        <v>150</v>
      </c>
      <c r="C25" s="149"/>
      <c r="D25" s="327">
        <f>'Pricing'!D24</f>
      </c>
      <c r="E25" s="324"/>
      <c r="F25" s="328">
        <f>'Pricing'!E24</f>
      </c>
      <c r="G25" s="324"/>
      <c r="H25" s="328">
        <f>'Pricing'!F24</f>
      </c>
      <c r="I25" s="324"/>
      <c r="J25" s="328">
        <f>'Pricing'!G24</f>
      </c>
      <c r="K25" s="324"/>
      <c r="L25" s="328">
        <f>'Pricing'!H24</f>
      </c>
      <c r="M25" s="324"/>
      <c r="N25" s="329">
        <f>'Pricing'!I24</f>
      </c>
      <c r="O25" s="15"/>
      <c r="P25" s="23"/>
      <c r="Q25" s="23"/>
    </row>
    <row r="26" spans="1:17" ht="15.75" customHeight="1" outlineLevel="1" x14ac:dyDescent="0.2">
      <c r="A26" s="23"/>
      <c r="B26" s="322" t="s">
        <v>92</v>
      </c>
      <c r="C26" s="149"/>
      <c r="D26" s="330">
        <f>'Pricing'!D53</f>
      </c>
      <c r="E26" s="324"/>
      <c r="F26" s="331">
        <f>'Pricing'!E53</f>
      </c>
      <c r="G26" s="324"/>
      <c r="H26" s="331">
        <f>'Pricing'!F53</f>
      </c>
      <c r="I26" s="324"/>
      <c r="J26" s="331">
        <f>'Pricing'!G53</f>
      </c>
      <c r="K26" s="324"/>
      <c r="L26" s="331">
        <f>'Pricing'!H53</f>
      </c>
      <c r="M26" s="324"/>
      <c r="N26" s="332">
        <f>'Pricing'!I53</f>
      </c>
      <c r="O26" s="15"/>
      <c r="P26" s="23"/>
      <c r="Q26" s="23"/>
    </row>
    <row r="27" spans="1:17" ht="15.75" customHeight="1" outlineLevel="1" x14ac:dyDescent="0.2">
      <c r="A27" s="23"/>
      <c r="B27" s="143" t="s">
        <v>151</v>
      </c>
      <c r="C27" s="316"/>
      <c r="D27" s="333"/>
      <c r="E27" s="334"/>
      <c r="F27" s="333"/>
      <c r="G27" s="334"/>
      <c r="H27" s="333"/>
      <c r="I27" s="334"/>
      <c r="J27" s="333"/>
      <c r="K27" s="334"/>
      <c r="L27" s="333"/>
      <c r="M27" s="334"/>
      <c r="N27" s="335"/>
      <c r="O27" s="15"/>
      <c r="P27" s="23"/>
      <c r="Q27" s="23"/>
    </row>
    <row r="28" spans="1:17" ht="15.75" customHeight="1" outlineLevel="1" x14ac:dyDescent="0.2">
      <c r="A28" s="23"/>
      <c r="B28" s="322" t="s">
        <v>94</v>
      </c>
      <c r="C28" s="149"/>
      <c r="D28" s="323">
        <f>'Pricing'!D55</f>
      </c>
      <c r="E28" s="324"/>
      <c r="F28" s="325">
        <f>'Pricing'!E55</f>
      </c>
      <c r="G28" s="324"/>
      <c r="H28" s="325">
        <f>'Pricing'!F55</f>
      </c>
      <c r="I28" s="324"/>
      <c r="J28" s="325">
        <f>'Pricing'!G55</f>
      </c>
      <c r="K28" s="324"/>
      <c r="L28" s="325">
        <f>'Pricing'!H55</f>
      </c>
      <c r="M28" s="324"/>
      <c r="N28" s="326">
        <f>'Pricing'!I55</f>
      </c>
      <c r="O28" s="15"/>
      <c r="P28" s="23"/>
      <c r="Q28" s="23"/>
    </row>
    <row r="29" spans="1:17" ht="15.75" customHeight="1" outlineLevel="1" x14ac:dyDescent="0.2">
      <c r="A29" s="23"/>
      <c r="B29" s="322" t="s">
        <v>152</v>
      </c>
      <c r="C29" s="149"/>
      <c r="D29" s="323">
        <f>SUM('Pricing'!E7:I7)</f>
      </c>
      <c r="E29" s="324"/>
      <c r="F29" s="325">
        <f>'Pricing'!E7</f>
      </c>
      <c r="G29" s="324"/>
      <c r="H29" s="325">
        <f>'Pricing'!F7</f>
      </c>
      <c r="I29" s="325">
        <f>SUM(Pricing!G7)</f>
      </c>
      <c r="J29" s="325">
        <f>'Pricing'!G7</f>
      </c>
      <c r="K29" s="325">
        <f>SUM(Pricing!I7)</f>
      </c>
      <c r="L29" s="325">
        <f>'Pricing'!H7</f>
      </c>
      <c r="M29" s="324"/>
      <c r="N29" s="326">
        <f>'Pricing'!I7</f>
      </c>
      <c r="O29" s="15"/>
      <c r="P29" s="23"/>
      <c r="Q29" s="23"/>
    </row>
    <row r="30" spans="1:17" ht="15.75" customHeight="1" outlineLevel="1" x14ac:dyDescent="0.2">
      <c r="A30" s="23"/>
      <c r="B30" s="322" t="s">
        <v>93</v>
      </c>
      <c r="C30" s="149"/>
      <c r="D30" s="327">
        <f>'Pricing'!D54</f>
      </c>
      <c r="E30" s="324"/>
      <c r="F30" s="328">
        <f>'Pricing'!E54</f>
      </c>
      <c r="G30" s="324"/>
      <c r="H30" s="328">
        <f>'Pricing'!F54</f>
      </c>
      <c r="I30" s="328">
        <f>Pricing!G54</f>
      </c>
      <c r="J30" s="328">
        <f>'Pricing'!G54</f>
      </c>
      <c r="K30" s="324"/>
      <c r="L30" s="328">
        <f>'Pricing'!H54</f>
      </c>
      <c r="M30" s="324"/>
      <c r="N30" s="329">
        <f>'Pricing'!I54</f>
      </c>
      <c r="O30" s="15"/>
    </row>
    <row r="31" spans="1:17" ht="15.75" customHeight="1" outlineLevel="1" x14ac:dyDescent="0.2">
      <c r="A31" s="23"/>
      <c r="B31" s="322" t="s">
        <v>125</v>
      </c>
      <c r="C31" s="149"/>
      <c r="D31" s="327">
        <f>'Pricing'!D56</f>
      </c>
      <c r="E31" s="324"/>
      <c r="F31" s="328">
        <f>'Pricing'!E56</f>
      </c>
      <c r="G31" s="324"/>
      <c r="H31" s="328">
        <f>'Pricing'!F56</f>
      </c>
      <c r="I31" s="324"/>
      <c r="J31" s="328">
        <f>'Pricing'!G56</f>
      </c>
      <c r="K31" s="324"/>
      <c r="L31" s="328">
        <f>'Pricing'!H56</f>
      </c>
      <c r="M31" s="324"/>
      <c r="N31" s="329">
        <f>'Pricing'!I56</f>
      </c>
      <c r="O31" s="15"/>
      <c r="P31" s="23"/>
      <c r="Q31" s="23"/>
    </row>
    <row r="32" spans="1:17" ht="15.75" customHeight="1" outlineLevel="1" x14ac:dyDescent="0.2">
      <c r="A32" s="23"/>
      <c r="B32" s="322" t="s">
        <v>153</v>
      </c>
      <c r="C32" s="149"/>
      <c r="D32" s="336">
        <f>'Pricing'!D57</f>
      </c>
      <c r="E32" s="337"/>
      <c r="F32" s="337">
        <f>'Pricing'!E57</f>
      </c>
      <c r="G32" s="337"/>
      <c r="H32" s="337">
        <f>'Pricing'!F57</f>
      </c>
      <c r="I32" s="337"/>
      <c r="J32" s="337">
        <f>'Pricing'!G57</f>
      </c>
      <c r="K32" s="337"/>
      <c r="L32" s="337">
        <f>'Pricing'!H57</f>
      </c>
      <c r="M32" s="337"/>
      <c r="N32" s="338">
        <f>'Pricing'!I57</f>
      </c>
      <c r="O32" s="15"/>
      <c r="P32" s="23"/>
      <c r="Q32" s="23"/>
    </row>
    <row r="33" spans="1:20" ht="15.75" customHeight="1" outlineLevel="1" x14ac:dyDescent="0.2">
      <c r="A33" s="23"/>
      <c r="B33" s="322" t="s">
        <v>97</v>
      </c>
      <c r="C33" s="149"/>
      <c r="D33" s="339">
        <f>'Pricing'!D58</f>
      </c>
      <c r="E33" s="340">
        <f>SUM(Pricing!D58)</f>
      </c>
      <c r="F33" s="340">
        <f>'Pricing'!E58</f>
      </c>
      <c r="G33" s="340">
        <f>Pricing!F58</f>
      </c>
      <c r="H33" s="340">
        <f>'Pricing'!F58</f>
      </c>
      <c r="I33" s="340">
        <f>Pricing!H58</f>
      </c>
      <c r="J33" s="340">
        <f>'Pricing'!G58</f>
      </c>
      <c r="K33" s="340">
        <f>Pricing!J58</f>
      </c>
      <c r="L33" s="340">
        <f>'Pricing'!H58</f>
      </c>
      <c r="M33" s="340">
        <f>Pricing!L58</f>
      </c>
      <c r="N33" s="341">
        <f>'Pricing'!I58</f>
      </c>
      <c r="O33" s="15"/>
      <c r="P33" s="23"/>
      <c r="Q33" s="23"/>
    </row>
    <row r="34" spans="1:20" ht="15.75" customHeight="1" outlineLevel="1" x14ac:dyDescent="0.2">
      <c r="A34" s="23"/>
      <c r="B34" s="322" t="s">
        <v>98</v>
      </c>
      <c r="C34" s="149"/>
      <c r="D34" s="336">
        <f>'Pricing'!D59</f>
      </c>
      <c r="E34" s="337">
        <f>SUM(Pricing!D59)</f>
      </c>
      <c r="F34" s="337">
        <f>'Pricing'!E59</f>
      </c>
      <c r="G34" s="337">
        <f>Pricing!F59</f>
      </c>
      <c r="H34" s="337">
        <f>'Pricing'!F59</f>
      </c>
      <c r="I34" s="337">
        <f>Pricing!H59</f>
      </c>
      <c r="J34" s="337">
        <f>'Pricing'!G59</f>
      </c>
      <c r="K34" s="337">
        <f>Pricing!J59</f>
      </c>
      <c r="L34" s="337">
        <f>'Pricing'!H59</f>
      </c>
      <c r="M34" s="337">
        <f>Pricing!L59</f>
      </c>
      <c r="N34" s="338">
        <f>'Pricing'!I59</f>
      </c>
      <c r="O34" s="15"/>
      <c r="P34" s="23"/>
      <c r="Q34" s="23"/>
    </row>
    <row r="35" spans="1:20" ht="15.75" customHeight="1" outlineLevel="1" x14ac:dyDescent="0.2">
      <c r="A35" s="23"/>
      <c r="B35" s="322" t="s">
        <v>100</v>
      </c>
      <c r="C35" s="298"/>
      <c r="D35" s="342">
        <f>'Pricing'!D60</f>
      </c>
      <c r="E35" s="343"/>
      <c r="F35" s="344">
        <f>'Pricing'!E60</f>
      </c>
      <c r="G35" s="344"/>
      <c r="H35" s="344">
        <f>'Pricing'!F60</f>
      </c>
      <c r="I35" s="344"/>
      <c r="J35" s="344">
        <f>'Pricing'!G60</f>
      </c>
      <c r="K35" s="344"/>
      <c r="L35" s="344">
        <f>'Pricing'!H60</f>
      </c>
      <c r="M35" s="345"/>
      <c r="N35" s="346">
        <f>'Pricing'!I60</f>
      </c>
      <c r="O35" s="15"/>
      <c r="P35" s="23"/>
      <c r="Q35" s="23"/>
    </row>
    <row r="36" spans="1:20" ht="15.75" customHeight="1" outlineLevel="1" x14ac:dyDescent="0.2">
      <c r="A36" s="23"/>
      <c r="B36" s="347" t="s">
        <v>101</v>
      </c>
      <c r="C36" s="149"/>
      <c r="D36" s="348">
        <f>'Pricing'!D61</f>
      </c>
      <c r="E36" s="349"/>
      <c r="F36" s="349">
        <f>'Pricing'!E61</f>
      </c>
      <c r="G36" s="349"/>
      <c r="H36" s="349">
        <f>'Pricing'!F61</f>
      </c>
      <c r="I36" s="349"/>
      <c r="J36" s="349">
        <f>'Pricing'!G61</f>
      </c>
      <c r="K36" s="349"/>
      <c r="L36" s="349">
        <f>'Pricing'!H61</f>
      </c>
      <c r="M36" s="349"/>
      <c r="N36" s="350">
        <f>'Pricing'!I61</f>
      </c>
      <c r="O36" s="15"/>
      <c r="P36" s="23"/>
      <c r="Q36" s="23"/>
    </row>
    <row r="37" spans="1:20" s="15" customFormat="1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T37" s="98"/>
    </row>
    <row r="38" spans="1:20" s="15" customFormat="1" ht="15.75" customHeight="1" outlineLevel="1" x14ac:dyDescent="0.2">
      <c r="A38" s="23"/>
      <c r="B38" s="351" t="s">
        <v>119</v>
      </c>
      <c r="C38" s="303"/>
      <c r="D38" s="352"/>
      <c r="E38" s="353"/>
      <c r="F38" s="222" t="s">
        <v>143</v>
      </c>
      <c r="G38" s="353"/>
      <c r="H38" s="222" t="s">
        <v>144</v>
      </c>
      <c r="I38" s="353"/>
      <c r="J38" s="222" t="s">
        <v>145</v>
      </c>
      <c r="K38" s="353"/>
      <c r="L38" s="222" t="s">
        <v>146</v>
      </c>
      <c r="M38" s="353"/>
      <c r="N38" s="223" t="s">
        <v>147</v>
      </c>
      <c r="O38" s="23"/>
      <c r="P38" s="23"/>
      <c r="Q38" s="23"/>
    </row>
    <row r="39" spans="1:20" s="15" customFormat="1" ht="46.5" customHeight="1" outlineLevel="1" x14ac:dyDescent="0.2">
      <c r="A39" s="23"/>
      <c r="B39" s="354" t="s">
        <v>49</v>
      </c>
      <c r="C39" s="23"/>
      <c r="D39" s="308" t="s">
        <v>50</v>
      </c>
      <c r="E39" s="355"/>
      <c r="F39" s="356">
        <f>'Pricing'!E64</f>
      </c>
      <c r="G39" s="357">
        <f>'Rental (BOM)'!E4</f>
      </c>
      <c r="H39" s="356">
        <f>'Pricing'!F64</f>
      </c>
      <c r="I39" s="357">
        <f>'Rental (BOM)'!G4</f>
      </c>
      <c r="J39" s="356">
        <f>'Pricing'!G64</f>
      </c>
      <c r="K39" s="357">
        <f>'Rental (BOM)'!I4</f>
      </c>
      <c r="L39" s="358">
        <f>'Pricing'!H64</f>
      </c>
      <c r="M39" s="357">
        <f>'Rental (BOM)'!K4</f>
      </c>
      <c r="N39" s="358">
        <f>'Pricing'!I64</f>
      </c>
      <c r="O39" s="23"/>
      <c r="P39" s="23"/>
      <c r="Q39" s="23"/>
    </row>
    <row r="40" spans="1:20" s="15" customFormat="1" ht="15.75" customHeight="1" outlineLevel="1" x14ac:dyDescent="0.2">
      <c r="A40" s="23"/>
      <c r="B40" s="359" t="s">
        <v>154</v>
      </c>
      <c r="C40" s="23"/>
      <c r="D40" s="308" t="s">
        <v>50</v>
      </c>
      <c r="E40" s="355"/>
      <c r="F40" s="360">
        <f>'Pricing'!E65</f>
      </c>
      <c r="G40" s="360">
        <f>Pricing!F65</f>
      </c>
      <c r="H40" s="360">
        <f>'Pricing'!F65</f>
      </c>
      <c r="I40" s="360">
        <f>Pricing!H65</f>
      </c>
      <c r="J40" s="360">
        <f>'Pricing'!G65</f>
      </c>
      <c r="K40" s="360">
        <f>Pricing!J65</f>
      </c>
      <c r="L40" s="360">
        <f>'Pricing'!H65</f>
      </c>
      <c r="M40" s="360">
        <f>Pricing!L65</f>
      </c>
      <c r="N40" s="360">
        <f>'Pricing'!I65</f>
      </c>
      <c r="O40" s="23"/>
      <c r="P40" s="23"/>
      <c r="Q40" s="23"/>
    </row>
    <row r="41" spans="1:20" s="15" customFormat="1" ht="15.75" customHeight="1" outlineLevel="1" x14ac:dyDescent="0.2">
      <c r="A41" s="23"/>
      <c r="B41" s="361"/>
      <c r="C41" s="318"/>
      <c r="D41" s="362" t="s">
        <v>56</v>
      </c>
      <c r="E41" s="363"/>
      <c r="F41" s="364"/>
      <c r="G41" s="363"/>
      <c r="H41" s="364"/>
      <c r="I41" s="363"/>
      <c r="J41" s="364"/>
      <c r="K41" s="363"/>
      <c r="L41" s="364"/>
      <c r="M41" s="363"/>
      <c r="N41" s="365"/>
      <c r="O41" s="23"/>
      <c r="P41" s="23"/>
      <c r="Q41" s="23"/>
    </row>
    <row r="42" spans="1:20" s="15" customFormat="1" ht="15.75" customHeight="1" outlineLevel="1" x14ac:dyDescent="0.2">
      <c r="A42" s="23"/>
      <c r="B42" s="322" t="s">
        <v>155</v>
      </c>
      <c r="C42" s="147"/>
      <c r="D42" s="325">
        <f>'Pricing'!D97</f>
      </c>
      <c r="E42" s="23"/>
      <c r="F42" s="325">
        <f>'Pricing'!E97</f>
      </c>
      <c r="G42" s="23"/>
      <c r="H42" s="325">
        <f>'Pricing'!F97</f>
      </c>
      <c r="I42" s="23"/>
      <c r="J42" s="325">
        <f>'Pricing'!G97</f>
      </c>
      <c r="K42" s="23"/>
      <c r="L42" s="325">
        <f>'Pricing'!H97</f>
      </c>
      <c r="M42" s="23"/>
      <c r="N42" s="326">
        <f>'Pricing'!I97</f>
      </c>
      <c r="O42" s="23"/>
      <c r="P42" s="23"/>
      <c r="Q42" s="23"/>
    </row>
    <row r="43" spans="1:20" s="15" customFormat="1" ht="15.75" customHeight="1" outlineLevel="1" x14ac:dyDescent="0.2">
      <c r="A43" s="23"/>
      <c r="B43" s="322" t="s">
        <v>69</v>
      </c>
      <c r="C43" s="147"/>
      <c r="D43" s="325">
        <f>'Pricing'!D98</f>
      </c>
      <c r="E43" s="23"/>
      <c r="F43" s="328">
        <f>'Pricing'!E98</f>
      </c>
      <c r="G43" s="23"/>
      <c r="H43" s="328">
        <f>'Pricing'!F98</f>
      </c>
      <c r="I43" s="23"/>
      <c r="J43" s="328">
        <f>'Pricing'!G98</f>
      </c>
      <c r="K43" s="23"/>
      <c r="L43" s="328">
        <f>'Pricing'!H98</f>
      </c>
      <c r="M43" s="23"/>
      <c r="N43" s="329">
        <f>'Pricing'!I98</f>
      </c>
      <c r="O43" s="23"/>
      <c r="P43" s="23"/>
      <c r="Q43" s="23"/>
    </row>
    <row r="44" spans="1:20" s="15" customFormat="1" ht="15.75" customHeight="1" outlineLevel="1" x14ac:dyDescent="0.2">
      <c r="A44" s="23"/>
      <c r="B44" s="322" t="s">
        <v>120</v>
      </c>
      <c r="C44" s="147"/>
      <c r="D44" s="325">
        <f>'Pricing'!D99</f>
      </c>
      <c r="E44" s="23"/>
      <c r="F44" s="328">
        <f>'Pricing'!E99</f>
      </c>
      <c r="G44" s="23"/>
      <c r="H44" s="328">
        <f>'Pricing'!F99</f>
      </c>
      <c r="I44" s="23"/>
      <c r="J44" s="328">
        <f>'Pricing'!G99</f>
      </c>
      <c r="K44" s="23"/>
      <c r="L44" s="328">
        <f>'Pricing'!H99</f>
      </c>
      <c r="M44" s="23"/>
      <c r="N44" s="329">
        <f>'Pricing'!I99</f>
      </c>
      <c r="O44" s="23"/>
      <c r="P44" s="23"/>
      <c r="Q44" s="23"/>
    </row>
    <row r="45" spans="1:20" s="15" customFormat="1" ht="15.75" customHeight="1" outlineLevel="1" x14ac:dyDescent="0.2">
      <c r="A45" s="23"/>
      <c r="B45" s="322" t="s">
        <v>156</v>
      </c>
      <c r="C45" s="147"/>
      <c r="D45" s="325">
        <f>'Pricing'!D100</f>
      </c>
      <c r="E45" s="23"/>
      <c r="F45" s="328">
        <f>'Pricing'!E100</f>
      </c>
      <c r="G45" s="23"/>
      <c r="H45" s="328">
        <f>'Pricing'!F100</f>
      </c>
      <c r="I45" s="23"/>
      <c r="J45" s="328">
        <f>'Pricing'!G100</f>
      </c>
      <c r="K45" s="23"/>
      <c r="L45" s="328">
        <f>'Pricing'!H100</f>
      </c>
      <c r="M45" s="23"/>
      <c r="N45" s="329">
        <f>'Pricing'!I100</f>
      </c>
      <c r="O45" s="23"/>
      <c r="P45" s="23"/>
      <c r="Q45" s="23"/>
    </row>
    <row r="46" spans="1:20" s="15" customFormat="1" ht="15.75" customHeight="1" outlineLevel="1" x14ac:dyDescent="0.2">
      <c r="A46" s="23"/>
      <c r="B46" s="347" t="s">
        <v>157</v>
      </c>
      <c r="C46" s="247"/>
      <c r="D46" s="366">
        <f>'Pricing'!D101</f>
      </c>
      <c r="E46" s="367"/>
      <c r="F46" s="366">
        <f>'Pricing'!E101</f>
      </c>
      <c r="G46" s="367"/>
      <c r="H46" s="366">
        <f>'Pricing'!F101</f>
      </c>
      <c r="I46" s="367"/>
      <c r="J46" s="366">
        <f>'Pricing'!G101</f>
      </c>
      <c r="K46" s="367"/>
      <c r="L46" s="366">
        <f>'Pricing'!H101</f>
      </c>
      <c r="M46" s="367"/>
      <c r="N46" s="368">
        <f>'Pricing'!I101</f>
      </c>
      <c r="O46" s="23"/>
      <c r="P46" s="23"/>
      <c r="Q46" s="23"/>
    </row>
    <row r="47" spans="1:20" s="15" customFormat="1" ht="15" customHeight="1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20" s="15" customFormat="1" ht="15.75" customHeight="1" x14ac:dyDescent="0.2">
      <c r="A48" s="23"/>
      <c r="B48" s="369"/>
      <c r="C48" s="300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23"/>
      <c r="P48" s="23"/>
      <c r="Q48" s="23"/>
    </row>
    <row r="49" spans="1:17" s="15" customFormat="1" ht="15.75" customHeight="1" x14ac:dyDescent="0.2">
      <c r="A49" s="23"/>
      <c r="B49" s="423" t="s">
        <v>158</v>
      </c>
      <c r="C49" s="423"/>
      <c r="D49" s="423"/>
      <c r="E49" s="423"/>
      <c r="F49" s="423"/>
      <c r="G49" s="423"/>
      <c r="H49" s="423"/>
      <c r="I49" s="423"/>
      <c r="J49" s="423"/>
      <c r="K49" s="423"/>
      <c r="L49" s="423"/>
      <c r="M49" s="423"/>
      <c r="N49" s="423"/>
      <c r="O49" s="23"/>
      <c r="P49" s="23"/>
      <c r="Q49" s="23"/>
    </row>
    <row r="50" spans="1:17" s="15" customFormat="1" ht="15.75" customHeight="1" x14ac:dyDescent="0.2">
      <c r="A50" s="23"/>
      <c r="B50" s="31"/>
      <c r="C50" s="23"/>
      <c r="D50" s="429"/>
      <c r="E50" s="429"/>
      <c r="F50" s="429"/>
      <c r="G50" s="429"/>
      <c r="H50" s="429"/>
      <c r="I50" s="429"/>
      <c r="J50" s="429"/>
      <c r="K50" s="23"/>
      <c r="L50" s="371"/>
      <c r="M50" s="430"/>
      <c r="N50" s="430"/>
      <c r="O50" s="23"/>
      <c r="P50" s="23"/>
      <c r="Q50" s="23"/>
    </row>
    <row r="51" spans="1:17" s="15" customFormat="1" ht="15.75" customHeight="1" x14ac:dyDescent="0.2">
      <c r="A51" s="23"/>
      <c r="B51" s="372" t="s">
        <v>159</v>
      </c>
      <c r="C51" s="23"/>
      <c r="D51" s="429"/>
      <c r="E51" s="429"/>
      <c r="F51" s="429"/>
      <c r="G51" s="429"/>
      <c r="H51" s="429"/>
      <c r="I51" s="429"/>
      <c r="J51" s="429"/>
      <c r="K51" s="367"/>
      <c r="L51" s="298" t="s">
        <v>136</v>
      </c>
      <c r="M51" s="430"/>
      <c r="N51" s="430"/>
      <c r="O51" s="23"/>
      <c r="P51" s="23"/>
      <c r="Q51" s="23"/>
    </row>
    <row r="52" spans="1:17" s="15" customFormat="1" ht="15.75" customHeight="1" x14ac:dyDescent="0.2">
      <c r="B52" s="373"/>
      <c r="D52" s="431"/>
      <c r="E52" s="431"/>
      <c r="F52" s="431"/>
      <c r="G52" s="431"/>
      <c r="H52" s="431"/>
      <c r="I52" s="431"/>
      <c r="J52" s="431"/>
      <c r="L52" s="374"/>
      <c r="M52" s="431"/>
      <c r="N52" s="431"/>
    </row>
    <row r="53" spans="1:17" s="15" customFormat="1" ht="15.75" customHeight="1" x14ac:dyDescent="0.2">
      <c r="B53" s="372" t="s">
        <v>160</v>
      </c>
      <c r="D53" s="431"/>
      <c r="E53" s="431"/>
      <c r="F53" s="431"/>
      <c r="G53" s="431"/>
      <c r="H53" s="431"/>
      <c r="I53" s="431"/>
      <c r="J53" s="431"/>
      <c r="K53" s="375"/>
      <c r="L53" s="298" t="s">
        <v>136</v>
      </c>
      <c r="M53" s="431"/>
      <c r="N53" s="431"/>
    </row>
    <row r="54" spans="1:17" s="15" customFormat="1" ht="15.75" customHeight="1" x14ac:dyDescent="0.2">
      <c r="B54" s="373"/>
      <c r="D54" s="431"/>
      <c r="E54" s="431"/>
      <c r="F54" s="431"/>
      <c r="G54" s="431"/>
      <c r="H54" s="431"/>
      <c r="I54" s="431"/>
      <c r="J54" s="431"/>
      <c r="L54" s="374"/>
      <c r="M54" s="431"/>
      <c r="N54" s="431"/>
    </row>
    <row r="55" spans="1:17" s="15" customFormat="1" ht="15.75" customHeight="1" x14ac:dyDescent="0.2">
      <c r="B55" s="372" t="s">
        <v>161</v>
      </c>
      <c r="D55" s="431"/>
      <c r="E55" s="431"/>
      <c r="F55" s="431"/>
      <c r="G55" s="431"/>
      <c r="H55" s="431"/>
      <c r="I55" s="431"/>
      <c r="J55" s="431"/>
      <c r="K55" s="375"/>
      <c r="L55" s="298" t="s">
        <v>136</v>
      </c>
      <c r="M55" s="431"/>
      <c r="N55" s="431"/>
    </row>
    <row r="56" spans="1:17" s="15" customFormat="1" ht="15.75" customHeight="1" x14ac:dyDescent="0.2">
      <c r="B56" s="373"/>
      <c r="D56" s="431"/>
      <c r="E56" s="431"/>
      <c r="F56" s="431"/>
      <c r="G56" s="431"/>
      <c r="H56" s="431"/>
      <c r="I56" s="431"/>
      <c r="J56" s="431"/>
      <c r="L56" s="374"/>
      <c r="M56" s="431"/>
      <c r="N56" s="431"/>
    </row>
    <row r="57" spans="1:17" s="15" customFormat="1" ht="15.75" customHeight="1" x14ac:dyDescent="0.2">
      <c r="B57" s="372" t="s">
        <v>162</v>
      </c>
      <c r="D57" s="431"/>
      <c r="E57" s="431"/>
      <c r="F57" s="431"/>
      <c r="G57" s="431"/>
      <c r="H57" s="431"/>
      <c r="I57" s="431"/>
      <c r="J57" s="431"/>
      <c r="K57" s="375"/>
      <c r="L57" s="298" t="s">
        <v>136</v>
      </c>
      <c r="M57" s="431"/>
      <c r="N57" s="431"/>
    </row>
    <row r="58" spans="1:17" s="15" customFormat="1" ht="15.75" customHeight="1" x14ac:dyDescent="0.2">
      <c r="B58" s="373"/>
      <c r="D58" s="432"/>
      <c r="E58" s="432"/>
      <c r="F58" s="432"/>
      <c r="G58" s="432"/>
      <c r="H58" s="432"/>
      <c r="I58" s="432"/>
      <c r="J58" s="432"/>
      <c r="L58" s="374"/>
      <c r="M58" s="431"/>
      <c r="N58" s="431"/>
    </row>
    <row r="59" spans="1:17" s="15" customFormat="1" ht="15.75" customHeight="1" x14ac:dyDescent="0.2">
      <c r="B59" s="372" t="s">
        <v>163</v>
      </c>
      <c r="D59" s="432"/>
      <c r="E59" s="432"/>
      <c r="F59" s="432"/>
      <c r="G59" s="432"/>
      <c r="H59" s="432"/>
      <c r="I59" s="432"/>
      <c r="J59" s="432"/>
      <c r="K59" s="375"/>
      <c r="L59" s="298" t="s">
        <v>136</v>
      </c>
      <c r="M59" s="431"/>
      <c r="N59" s="431"/>
    </row>
    <row r="60" spans="1:17" s="15" customFormat="1" ht="15" customHeight="1" x14ac:dyDescent="0.2"/>
    <row r="61" spans="1:17" s="15" customFormat="1" ht="15" customHeight="1" x14ac:dyDescent="0.2"/>
    <row r="62" spans="1:17" s="15" customFormat="1" ht="15" customHeight="1" x14ac:dyDescent="0.2"/>
    <row r="63" spans="1:17" s="15" customFormat="1" ht="15" customHeight="1" x14ac:dyDescent="0.2"/>
    <row r="64" spans="1:17" s="15" customFormat="1" ht="15" customHeight="1" x14ac:dyDescent="0.2"/>
    <row r="65" s="15" customFormat="1" ht="15" customHeight="1" x14ac:dyDescent="0.2"/>
    <row r="66" s="15" customFormat="1" ht="15" customHeight="1" x14ac:dyDescent="0.2"/>
    <row r="67" s="15" customFormat="1" ht="15" customHeight="1" x14ac:dyDescent="0.2"/>
    <row r="68" s="15" customFormat="1" ht="15" customHeight="1" x14ac:dyDescent="0.2"/>
    <row r="69" s="15" customFormat="1" ht="15" customHeight="1" x14ac:dyDescent="0.2"/>
    <row r="70" s="15" customFormat="1" ht="15" customHeight="1" x14ac:dyDescent="0.2"/>
    <row r="71" s="15" customFormat="1" ht="15" customHeight="1" x14ac:dyDescent="0.2"/>
    <row r="72" s="15" customFormat="1" ht="15" customHeight="1" x14ac:dyDescent="0.2"/>
    <row r="73" s="15" customFormat="1" ht="15" customHeight="1" x14ac:dyDescent="0.2"/>
    <row r="74" s="15" customFormat="1" ht="15" customHeight="1" x14ac:dyDescent="0.2"/>
    <row r="75" s="15" customFormat="1" ht="15" customHeight="1" x14ac:dyDescent="0.2"/>
    <row r="76" s="15" customFormat="1" ht="15" customHeight="1" x14ac:dyDescent="0.2"/>
  </sheetData>
  <sheetProtection sheet="1" objects="1" scenarios="1"/>
  <mergeCells count="20">
    <mergeCell ref="D56:J57"/>
    <mergeCell ref="M56:N57"/>
    <mergeCell ref="D58:J59"/>
    <mergeCell ref="M58:N59"/>
    <mergeCell ref="D50:J51"/>
    <mergeCell ref="M50:N51"/>
    <mergeCell ref="D52:J53"/>
    <mergeCell ref="M52:N53"/>
    <mergeCell ref="D54:J55"/>
    <mergeCell ref="M54:N55"/>
    <mergeCell ref="C8:F8"/>
    <mergeCell ref="B9:N9"/>
    <mergeCell ref="B10:N16"/>
    <mergeCell ref="B18:N18"/>
    <mergeCell ref="B49:N49"/>
    <mergeCell ref="B1:L1"/>
    <mergeCell ref="B2:N2"/>
    <mergeCell ref="C4:F4"/>
    <mergeCell ref="C5:F5"/>
    <mergeCell ref="C6:F6"/>
  </mergeCells>
  <conditionalFormatting sqref="D32">
    <cfRule type="containsErrors" dxfId="46" priority="12">
      <formula>ISERROR(D32)</formula>
    </cfRule>
  </conditionalFormatting>
  <conditionalFormatting sqref="D46">
    <cfRule type="cellIs" dxfId="45" priority="25" operator="between">
      <formula>0.65</formula>
      <formula>1</formula>
    </cfRule>
    <cfRule type="cellIs" dxfId="44" priority="28" operator="between">
      <formula>0</formula>
      <formula>0.45</formula>
    </cfRule>
    <cfRule type="cellIs" dxfId="43" priority="27" operator="between">
      <formula>0.44</formula>
      <formula>0.65</formula>
    </cfRule>
    <cfRule type="cellIs" dxfId="42" priority="26" operator="greaterThanOrEqual">
      <formula>1</formula>
    </cfRule>
    <cfRule type="containsErrors" dxfId="41" priority="24">
      <formula>ISERROR(D46)</formula>
    </cfRule>
  </conditionalFormatting>
  <conditionalFormatting sqref="D48">
    <cfRule type="containsErrors" dxfId="40" priority="13">
      <formula>ISERROR(D48)</formula>
    </cfRule>
  </conditionalFormatting>
  <conditionalFormatting sqref="D32:N32">
    <cfRule type="cellIs" dxfId="39" priority="14" operator="equal">
      <formula>0</formula>
    </cfRule>
    <cfRule type="cellIs" dxfId="38" priority="15" operator="between">
      <formula>0.65</formula>
      <formula>1</formula>
    </cfRule>
    <cfRule type="cellIs" dxfId="37" priority="16" operator="greaterThanOrEqual">
      <formula>1</formula>
    </cfRule>
    <cfRule type="cellIs" dxfId="36" priority="17" operator="between">
      <formula>0.44</formula>
      <formula>0.65</formula>
    </cfRule>
    <cfRule type="cellIs" dxfId="35" priority="18" operator="between">
      <formula>0</formula>
      <formula>0.45</formula>
    </cfRule>
  </conditionalFormatting>
  <conditionalFormatting sqref="D33:N34">
    <cfRule type="containsErrors" dxfId="34" priority="23">
      <formula>ISERROR(D33)</formula>
    </cfRule>
  </conditionalFormatting>
  <conditionalFormatting sqref="D35:N35">
    <cfRule type="containsErrors" dxfId="33" priority="6">
      <formula>ISERROR(D35)</formula>
    </cfRule>
    <cfRule type="cellIs" dxfId="32" priority="7" operator="equal">
      <formula>0</formula>
    </cfRule>
    <cfRule type="cellIs" dxfId="31" priority="8" operator="lessThan">
      <formula>6</formula>
    </cfRule>
    <cfRule type="cellIs" dxfId="30" priority="9" operator="between">
      <formula>6</formula>
      <formula>11</formula>
    </cfRule>
    <cfRule type="cellIs" dxfId="29" priority="10" operator="greaterThan">
      <formula>11</formula>
    </cfRule>
  </conditionalFormatting>
  <conditionalFormatting sqref="D48:N48">
    <cfRule type="cellIs" dxfId="28" priority="19" operator="between">
      <formula>0.65</formula>
      <formula>1</formula>
    </cfRule>
    <cfRule type="cellIs" dxfId="27" priority="20" operator="greaterThanOrEqual">
      <formula>1</formula>
    </cfRule>
    <cfRule type="cellIs" dxfId="26" priority="21" operator="between">
      <formula>0.44</formula>
      <formula>0.65</formula>
    </cfRule>
    <cfRule type="cellIs" dxfId="25" priority="22" operator="between">
      <formula>0</formula>
      <formula>0.45</formula>
    </cfRule>
  </conditionalFormatting>
  <conditionalFormatting sqref="F32">
    <cfRule type="containsErrors" dxfId="24" priority="5">
      <formula>ISERROR(F32)</formula>
    </cfRule>
  </conditionalFormatting>
  <conditionalFormatting sqref="F46">
    <cfRule type="cellIs" dxfId="23" priority="48" operator="between">
      <formula>0</formula>
      <formula>0.45</formula>
    </cfRule>
    <cfRule type="cellIs" dxfId="22" priority="45" operator="between">
      <formula>0.65</formula>
      <formula>1</formula>
    </cfRule>
    <cfRule type="cellIs" dxfId="21" priority="46" operator="lessThan">
      <formula>0.01</formula>
    </cfRule>
    <cfRule type="cellIs" dxfId="20" priority="47" operator="between">
      <formula>0.44</formula>
      <formula>0.65</formula>
    </cfRule>
  </conditionalFormatting>
  <conditionalFormatting sqref="H32">
    <cfRule type="containsErrors" dxfId="19" priority="4">
      <formula>ISERROR(H32)</formula>
    </cfRule>
  </conditionalFormatting>
  <conditionalFormatting sqref="H46">
    <cfRule type="cellIs" dxfId="18" priority="41" operator="between">
      <formula>0.65</formula>
      <formula>1</formula>
    </cfRule>
    <cfRule type="cellIs" dxfId="17" priority="42" operator="lessThan">
      <formula>0.01</formula>
    </cfRule>
    <cfRule type="cellIs" dxfId="16" priority="43" operator="between">
      <formula>0.44</formula>
      <formula>0.65</formula>
    </cfRule>
    <cfRule type="cellIs" dxfId="15" priority="44" operator="between">
      <formula>0</formula>
      <formula>0.45</formula>
    </cfRule>
  </conditionalFormatting>
  <conditionalFormatting sqref="H20:N20 D48:N48">
    <cfRule type="cellIs" dxfId="14" priority="11" operator="equal">
      <formula>0</formula>
    </cfRule>
  </conditionalFormatting>
  <conditionalFormatting sqref="J32">
    <cfRule type="containsErrors" dxfId="13" priority="3">
      <formula>ISERROR(J32)</formula>
    </cfRule>
  </conditionalFormatting>
  <conditionalFormatting sqref="J46">
    <cfRule type="cellIs" dxfId="12" priority="37" operator="between">
      <formula>0.65</formula>
      <formula>1</formula>
    </cfRule>
    <cfRule type="cellIs" dxfId="11" priority="38" operator="lessThan">
      <formula>0.01</formula>
    </cfRule>
    <cfRule type="cellIs" dxfId="10" priority="39" operator="between">
      <formula>0.44</formula>
      <formula>0.65</formula>
    </cfRule>
    <cfRule type="cellIs" dxfId="9" priority="40" operator="between">
      <formula>0</formula>
      <formula>0.45</formula>
    </cfRule>
  </conditionalFormatting>
  <conditionalFormatting sqref="L32">
    <cfRule type="containsErrors" dxfId="8" priority="2">
      <formula>ISERROR(L32)</formula>
    </cfRule>
  </conditionalFormatting>
  <conditionalFormatting sqref="L46">
    <cfRule type="cellIs" dxfId="7" priority="33" operator="between">
      <formula>0.65</formula>
      <formula>1</formula>
    </cfRule>
    <cfRule type="cellIs" dxfId="6" priority="34" operator="lessThan">
      <formula>0.01</formula>
    </cfRule>
    <cfRule type="cellIs" dxfId="5" priority="35" operator="between">
      <formula>0.44</formula>
      <formula>0.65</formula>
    </cfRule>
    <cfRule type="cellIs" dxfId="4" priority="36" operator="between">
      <formula>0</formula>
      <formula>0.45</formula>
    </cfRule>
  </conditionalFormatting>
  <conditionalFormatting sqref="N46">
    <cfRule type="cellIs" dxfId="3" priority="29" operator="between">
      <formula>0.65</formula>
      <formula>1</formula>
    </cfRule>
    <cfRule type="cellIs" dxfId="2" priority="30" operator="lessThan">
      <formula>0.01</formula>
    </cfRule>
    <cfRule type="cellIs" dxfId="1" priority="31" operator="between">
      <formula>0.44</formula>
      <formula>0.65</formula>
    </cfRule>
    <cfRule type="cellIs" dxfId="0" priority="32" operator="between">
      <formula>0</formula>
      <formula>0.45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600-000000000000}">
  <sheetPr>
    <tabColor rgb="FFB4C7E7"/>
  </sheetPr>
  <dimension ref="A1:P78"/>
  <sheetViews>
    <sheetView showGridLines="0" zoomScaleNormal="100" workbookViewId="0">
      <selection activeCell="C4" sqref="C4"/>
    </sheetView>
  </sheetViews>
  <sheetFormatPr baseColWidth="10" defaultColWidth="8.83203125" defaultRowHeight="15" x14ac:dyDescent="0.2"/>
  <cols>
    <col min="2" max="2" width="18.83203125" style="21" customWidth="1"/>
    <col min="3" max="3" width="15.83203125" customWidth="1"/>
    <col min="4" max="4" width="13" customWidth="1"/>
    <col min="5" max="5" width="17.33203125" customWidth="1"/>
    <col min="6" max="6" width="5.33203125" customWidth="1"/>
    <col min="7" max="7" width="21" customWidth="1"/>
    <col min="9" max="9" width="12.83203125" style="376" customWidth="1"/>
    <col min="10" max="10" width="13.6640625" customWidth="1"/>
    <col min="18" max="18" width="12.1640625" customWidth="1"/>
  </cols>
  <sheetData>
    <row r="1" spans="1:16" ht="19.5" customHeight="1" x14ac:dyDescent="0.3">
      <c r="A1" s="14">
        <f>Pricing!B1</f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6" ht="12.75" customHeight="1" x14ac:dyDescent="0.3">
      <c r="A2" s="140"/>
      <c r="B2" s="377"/>
      <c r="C2" s="377"/>
      <c r="D2" s="377"/>
      <c r="E2" s="377"/>
      <c r="F2" s="377"/>
      <c r="G2" s="377"/>
      <c r="H2" s="377"/>
      <c r="I2" s="377"/>
      <c r="J2" s="377"/>
      <c r="K2" s="377"/>
    </row>
    <row r="3" spans="1:16" ht="16.5" customHeight="1" x14ac:dyDescent="0.2">
      <c r="B3" s="378" t="s">
        <v>164</v>
      </c>
      <c r="C3" s="379">
        <v>0.15</v>
      </c>
      <c r="D3" s="380" t="s">
        <v>165</v>
      </c>
      <c r="E3" s="376"/>
    </row>
    <row r="4" spans="1:16" ht="15" customHeight="1" x14ac:dyDescent="0.2">
      <c r="B4" s="381"/>
      <c r="C4" s="382"/>
      <c r="E4" s="376"/>
    </row>
    <row r="5" spans="1:16" ht="15.75" customHeight="1" x14ac:dyDescent="0.2">
      <c r="D5" s="146" t="s">
        <v>166</v>
      </c>
    </row>
    <row r="6" spans="1:16" ht="15.75" customHeight="1" x14ac:dyDescent="0.2">
      <c r="B6" s="383" t="s">
        <v>20</v>
      </c>
      <c r="C6" s="383" t="s">
        <v>167</v>
      </c>
      <c r="D6" s="383" t="s">
        <v>168</v>
      </c>
      <c r="E6" s="383" t="s">
        <v>101</v>
      </c>
      <c r="F6" s="383"/>
      <c r="G6" s="383" t="s">
        <v>169</v>
      </c>
      <c r="I6" s="384" t="s">
        <v>98</v>
      </c>
      <c r="J6" s="385">
        <f>IFERROR(IRR(E7:E17),"n/m")</f>
      </c>
      <c r="K6" s="386"/>
      <c r="L6" s="387" t="s">
        <v>170</v>
      </c>
      <c r="M6" s="386"/>
      <c r="N6" s="386"/>
      <c r="O6" s="388"/>
    </row>
    <row r="7" spans="1:16" ht="15" customHeight="1" x14ac:dyDescent="0.2">
      <c r="B7" s="389" t="s">
        <v>171</v>
      </c>
      <c r="C7" s="389">
        <v>0</v>
      </c>
      <c r="D7" s="390">
        <f>'Pricing'!E52-'Pricing'!E7-'Pricing'!E100</f>
      </c>
      <c r="E7" s="390">
        <f>-D7</f>
      </c>
      <c r="F7" s="390"/>
      <c r="G7" s="390">
        <f>SUM(E$7:E7)</f>
      </c>
      <c r="I7" s="384" t="s">
        <v>97</v>
      </c>
      <c r="J7" s="391">
        <f>NPV($C$3,E8:E17)+E7</f>
      </c>
      <c r="K7" s="392"/>
      <c r="L7" s="393" t="s">
        <v>172</v>
      </c>
      <c r="M7" s="392"/>
      <c r="N7" s="392"/>
      <c r="O7" s="388"/>
    </row>
    <row r="8" spans="1:16" ht="15" customHeight="1" x14ac:dyDescent="0.2">
      <c r="B8" s="389" t="s">
        <v>171</v>
      </c>
      <c r="C8" s="389">
        <v>1</v>
      </c>
      <c r="D8" s="394"/>
      <c r="E8" s="390">
        <f>'Pricing'!E$56*MAX(0,MIN(12,'Pricing'!E$4-(C8-1)*12))</f>
      </c>
      <c r="F8" s="390"/>
      <c r="G8" s="390">
        <f>SUM(E$7:E8)</f>
      </c>
      <c r="I8" s="384" t="s">
        <v>173</v>
      </c>
      <c r="J8" s="395">
        <f>'Pricing'!E60</f>
      </c>
      <c r="K8" s="392"/>
      <c r="L8" s="396" t="s">
        <v>20</v>
      </c>
      <c r="M8" s="392"/>
      <c r="N8" s="392"/>
      <c r="O8" s="388"/>
    </row>
    <row r="9" spans="1:16" ht="15" customHeight="1" x14ac:dyDescent="0.2">
      <c r="B9" s="389" t="s">
        <v>171</v>
      </c>
      <c r="C9" s="389">
        <v>2</v>
      </c>
      <c r="D9" s="394"/>
      <c r="E9" s="390">
        <f>'Pricing'!E$56*MAX(0,MIN(12,'Pricing'!E$4-(C9-1)*12))</f>
      </c>
      <c r="F9" s="390"/>
      <c r="G9" s="390">
        <f>SUM(E$7:E9)</f>
      </c>
      <c r="K9" t="s">
        <v>174</v>
      </c>
    </row>
    <row r="10" spans="1:16" ht="15" customHeight="1" x14ac:dyDescent="0.2">
      <c r="B10" s="389" t="s">
        <v>171</v>
      </c>
      <c r="C10" s="389">
        <v>3</v>
      </c>
      <c r="D10" s="394"/>
      <c r="E10" s="390">
        <f>'Pricing'!E$56*MAX(0,MIN(12,'Pricing'!E$4-(C10-1)*12))</f>
      </c>
      <c r="F10" s="390"/>
      <c r="G10" s="390">
        <f>SUM(E$7:E10)</f>
      </c>
      <c r="I10" s="433" t="s">
        <v>20</v>
      </c>
      <c r="J10" s="433"/>
      <c r="K10" s="433"/>
      <c r="L10" s="433"/>
      <c r="M10" s="433"/>
      <c r="N10" s="433"/>
      <c r="O10" s="433"/>
      <c r="P10" s="433"/>
    </row>
    <row r="11" spans="1:16" ht="15" customHeight="1" x14ac:dyDescent="0.2">
      <c r="B11" s="389" t="s">
        <v>171</v>
      </c>
      <c r="C11" s="389">
        <v>4</v>
      </c>
      <c r="D11" s="394"/>
      <c r="E11" s="390">
        <f>'Pricing'!E$56*MAX(0,MIN(12,'Pricing'!E$4-(C11-1)*12))</f>
      </c>
      <c r="F11" s="390"/>
      <c r="G11" s="390">
        <f>SUM(E$7:E11)</f>
      </c>
      <c r="I11" s="433"/>
      <c r="J11" s="433"/>
      <c r="K11" s="433"/>
      <c r="L11" s="433"/>
      <c r="M11" s="433"/>
      <c r="N11" s="433"/>
      <c r="O11" s="433"/>
      <c r="P11" s="433"/>
    </row>
    <row r="12" spans="1:16" ht="15" customHeight="1" x14ac:dyDescent="0.2">
      <c r="B12" s="389" t="s">
        <v>171</v>
      </c>
      <c r="C12" s="389">
        <v>5</v>
      </c>
      <c r="D12" s="394"/>
      <c r="E12" s="390">
        <f>'Pricing'!E$56*MAX(0,MIN(12,'Pricing'!E$4-(C12-1)*12))</f>
      </c>
      <c r="F12" s="390"/>
      <c r="G12" s="390">
        <f>SUM(E$7:E12)</f>
      </c>
      <c r="I12" s="433"/>
      <c r="J12" s="433"/>
      <c r="K12" s="433"/>
      <c r="L12" s="433"/>
      <c r="M12" s="433"/>
      <c r="N12" s="433"/>
      <c r="O12" s="433"/>
      <c r="P12" s="433"/>
    </row>
    <row r="13" spans="1:16" ht="15" customHeight="1" x14ac:dyDescent="0.2">
      <c r="B13" s="389" t="s">
        <v>171</v>
      </c>
      <c r="C13" s="389">
        <v>6</v>
      </c>
      <c r="D13" s="394"/>
      <c r="E13" s="390">
        <f>'Pricing'!E$56*MAX(0,MIN(12,'Pricing'!E$4-(C13-1)*12))</f>
      </c>
      <c r="F13" s="390"/>
      <c r="G13" s="390">
        <f>SUM(E$7:E13)</f>
      </c>
      <c r="I13" s="433"/>
      <c r="J13" s="433"/>
      <c r="K13" s="433"/>
      <c r="L13" s="433"/>
      <c r="M13" s="433"/>
      <c r="N13" s="433"/>
      <c r="O13" s="433"/>
      <c r="P13" s="433"/>
    </row>
    <row r="14" spans="1:16" ht="15" customHeight="1" x14ac:dyDescent="0.2">
      <c r="B14" s="389" t="s">
        <v>171</v>
      </c>
      <c r="C14" s="389">
        <v>7</v>
      </c>
      <c r="D14" s="394"/>
      <c r="E14" s="390">
        <f>'Pricing'!E$56*MAX(0,MIN(12,'Pricing'!E$4-(C14-1)*12))</f>
      </c>
      <c r="F14" s="390"/>
      <c r="G14" s="390">
        <f>SUM(E$7:E14)</f>
      </c>
      <c r="I14" s="433"/>
      <c r="J14" s="433"/>
      <c r="K14" s="433"/>
      <c r="L14" s="433"/>
      <c r="M14" s="433"/>
      <c r="N14" s="433"/>
      <c r="O14" s="433"/>
      <c r="P14" s="433"/>
    </row>
    <row r="15" spans="1:16" ht="15" customHeight="1" x14ac:dyDescent="0.2">
      <c r="B15" s="389" t="s">
        <v>171</v>
      </c>
      <c r="C15" s="389">
        <v>8</v>
      </c>
      <c r="D15" s="394"/>
      <c r="E15" s="390">
        <f>'Pricing'!E$56*MAX(0,MIN(12,'Pricing'!E$4-(C15-1)*12))</f>
      </c>
      <c r="F15" s="390"/>
      <c r="G15" s="390">
        <f>SUM(E$7:E15)</f>
      </c>
      <c r="I15" s="433"/>
      <c r="J15" s="433"/>
      <c r="K15" s="433"/>
      <c r="L15" s="433"/>
      <c r="M15" s="433"/>
      <c r="N15" s="433"/>
      <c r="O15" s="433"/>
      <c r="P15" s="433"/>
    </row>
    <row r="16" spans="1:16" ht="15" customHeight="1" x14ac:dyDescent="0.2">
      <c r="B16" s="389" t="s">
        <v>171</v>
      </c>
      <c r="C16" s="389">
        <v>9</v>
      </c>
      <c r="D16" s="394"/>
      <c r="E16" s="390">
        <f>'Pricing'!E$56*MAX(0,MIN(12,'Pricing'!E$4-(C16-1)*12))</f>
      </c>
      <c r="F16" s="390"/>
      <c r="G16" s="390">
        <f>SUM(E$7:E16)</f>
      </c>
      <c r="I16" s="433"/>
      <c r="J16" s="433"/>
      <c r="K16" s="433"/>
      <c r="L16" s="433"/>
      <c r="M16" s="433"/>
      <c r="N16" s="433"/>
      <c r="O16" s="433"/>
      <c r="P16" s="433"/>
    </row>
    <row r="17" spans="2:16" ht="15.75" customHeight="1" x14ac:dyDescent="0.2">
      <c r="B17" s="397" t="s">
        <v>171</v>
      </c>
      <c r="C17" s="397">
        <v>10</v>
      </c>
      <c r="D17" s="398"/>
      <c r="E17" s="399">
        <f>'Pricing'!E$56*MAX(0,MIN(12,'Pricing'!E$4-(C17-1)*12))</f>
      </c>
      <c r="F17" s="399"/>
      <c r="G17" s="399">
        <f>SUM(E$7:E17)</f>
      </c>
      <c r="I17" s="433"/>
      <c r="J17" s="433"/>
      <c r="K17" s="433"/>
      <c r="L17" s="433"/>
      <c r="M17" s="433"/>
      <c r="N17" s="433"/>
      <c r="O17" s="433"/>
      <c r="P17" s="433"/>
    </row>
    <row r="18" spans="2:16" ht="15" customHeight="1" x14ac:dyDescent="0.2">
      <c r="B18" s="400" t="s">
        <v>175</v>
      </c>
      <c r="C18" s="401"/>
      <c r="D18" s="402"/>
      <c r="E18" s="403">
        <f>SUM(E7:E17)</f>
      </c>
      <c r="F18" s="403"/>
      <c r="G18" s="403" t="s">
        <v>20</v>
      </c>
      <c r="I18" s="433"/>
      <c r="J18" s="433"/>
      <c r="K18" s="433"/>
      <c r="L18" s="433"/>
      <c r="M18" s="433"/>
      <c r="N18" s="433"/>
      <c r="O18" s="433"/>
      <c r="P18" s="433"/>
    </row>
    <row r="19" spans="2:16" ht="15" customHeight="1" x14ac:dyDescent="0.2">
      <c r="C19" s="21"/>
      <c r="E19" s="404"/>
      <c r="F19" s="404"/>
      <c r="G19" s="404"/>
      <c r="I19" s="405"/>
      <c r="J19" s="392"/>
      <c r="K19" s="392"/>
      <c r="L19" s="392"/>
      <c r="M19" s="392"/>
      <c r="N19" s="392"/>
      <c r="O19" s="388"/>
    </row>
    <row r="20" spans="2:16" ht="15.75" customHeight="1" x14ac:dyDescent="0.2">
      <c r="C20" s="21"/>
      <c r="D20" s="146" t="s">
        <v>176</v>
      </c>
      <c r="E20" s="404"/>
      <c r="F20" s="404"/>
      <c r="G20" s="404"/>
      <c r="I20" s="405"/>
      <c r="J20" s="392"/>
      <c r="K20" s="392"/>
      <c r="L20" s="392"/>
      <c r="M20" s="392"/>
      <c r="N20" s="392"/>
      <c r="O20" s="388"/>
    </row>
    <row r="21" spans="2:16" ht="15.75" customHeight="1" x14ac:dyDescent="0.2">
      <c r="B21" s="383" t="s">
        <v>20</v>
      </c>
      <c r="C21" s="383" t="s">
        <v>167</v>
      </c>
      <c r="D21" s="383" t="s">
        <v>168</v>
      </c>
      <c r="E21" s="383" t="s">
        <v>101</v>
      </c>
      <c r="F21" s="383"/>
      <c r="G21" s="383" t="s">
        <v>169</v>
      </c>
      <c r="I21" s="384" t="s">
        <v>98</v>
      </c>
      <c r="J21" s="385">
        <f>IFERROR(IRR(E22:E32),"n/m")</f>
      </c>
    </row>
    <row r="22" spans="2:16" ht="15" customHeight="1" x14ac:dyDescent="0.2">
      <c r="B22" s="406" t="s">
        <v>171</v>
      </c>
      <c r="C22" s="406">
        <v>0</v>
      </c>
      <c r="D22" s="407">
        <f>'Pricing'!F52-'Pricing'!F7-'Pricing'!F100</f>
      </c>
      <c r="E22" s="407">
        <f>-D22</f>
      </c>
      <c r="F22" s="407"/>
      <c r="G22" s="408">
        <f>SUM(E$22:E22)</f>
      </c>
      <c r="I22" s="384" t="s">
        <v>97</v>
      </c>
      <c r="J22" s="391">
        <f>NPV($C$3,E23:E32)+E22</f>
      </c>
    </row>
    <row r="23" spans="2:16" ht="15" customHeight="1" x14ac:dyDescent="0.2">
      <c r="B23" s="406" t="s">
        <v>171</v>
      </c>
      <c r="C23" s="406">
        <v>1</v>
      </c>
      <c r="D23" s="409"/>
      <c r="E23" s="407">
        <f>'Pricing'!F$56*MAX(0,MIN(12,'Pricing'!F$4-(C23-1)*12))</f>
      </c>
      <c r="F23" s="407"/>
      <c r="G23" s="408">
        <f>SUM(E$22:E23)</f>
      </c>
      <c r="I23" s="384" t="s">
        <v>173</v>
      </c>
      <c r="J23" s="410">
        <f>'Pricing'!F60</f>
      </c>
      <c r="K23" t="s">
        <v>174</v>
      </c>
      <c r="L23" s="396"/>
    </row>
    <row r="24" spans="2:16" ht="15" customHeight="1" x14ac:dyDescent="0.2">
      <c r="B24" s="406" t="s">
        <v>171</v>
      </c>
      <c r="C24" s="406">
        <v>2</v>
      </c>
      <c r="D24" s="409"/>
      <c r="E24" s="407">
        <f>'Pricing'!F$56*MAX(0,MIN(12,'Pricing'!F$4-(C24-1)*12))</f>
      </c>
      <c r="F24" s="407"/>
      <c r="G24" s="408">
        <f>SUM(E$22:E24)</f>
      </c>
      <c r="I24" s="433" t="s">
        <v>20</v>
      </c>
      <c r="J24" s="433"/>
      <c r="K24" s="433"/>
      <c r="L24" s="433"/>
      <c r="M24" s="433"/>
      <c r="N24" s="433"/>
      <c r="O24" s="433"/>
      <c r="P24" s="433"/>
    </row>
    <row r="25" spans="2:16" ht="15" customHeight="1" x14ac:dyDescent="0.2">
      <c r="B25" s="406" t="s">
        <v>171</v>
      </c>
      <c r="C25" s="406">
        <v>3</v>
      </c>
      <c r="D25" s="409"/>
      <c r="E25" s="407">
        <f>'Pricing'!F$56*MAX(0,MIN(12,'Pricing'!F$4-(C25-1)*12))</f>
      </c>
      <c r="F25" s="407"/>
      <c r="G25" s="408">
        <f>SUM(E$22:E25)</f>
      </c>
      <c r="I25" s="433"/>
      <c r="J25" s="433"/>
      <c r="K25" s="433"/>
      <c r="L25" s="433"/>
      <c r="M25" s="433"/>
      <c r="N25" s="433"/>
      <c r="O25" s="433"/>
      <c r="P25" s="433"/>
    </row>
    <row r="26" spans="2:16" ht="15" customHeight="1" x14ac:dyDescent="0.2">
      <c r="B26" s="406" t="s">
        <v>171</v>
      </c>
      <c r="C26" s="406">
        <v>4</v>
      </c>
      <c r="D26" s="409"/>
      <c r="E26" s="407">
        <f>'Pricing'!F$56*MAX(0,MIN(12,'Pricing'!F$4-(C26-1)*12))</f>
      </c>
      <c r="F26" s="407"/>
      <c r="G26" s="408">
        <f>SUM(E$22:E26)</f>
      </c>
      <c r="I26" s="433"/>
      <c r="J26" s="433"/>
      <c r="K26" s="433"/>
      <c r="L26" s="433"/>
      <c r="M26" s="433"/>
      <c r="N26" s="433"/>
      <c r="O26" s="433"/>
      <c r="P26" s="433"/>
    </row>
    <row r="27" spans="2:16" ht="15" customHeight="1" x14ac:dyDescent="0.2">
      <c r="B27" s="406" t="s">
        <v>171</v>
      </c>
      <c r="C27" s="406">
        <v>5</v>
      </c>
      <c r="D27" s="409"/>
      <c r="E27" s="407">
        <f>'Pricing'!F$56*MAX(0,MIN(12,'Pricing'!F$4-(C27-1)*12))</f>
      </c>
      <c r="F27" s="407"/>
      <c r="G27" s="408">
        <f>SUM(E$22:E27)</f>
      </c>
      <c r="I27" s="433"/>
      <c r="J27" s="433"/>
      <c r="K27" s="433"/>
      <c r="L27" s="433"/>
      <c r="M27" s="433"/>
      <c r="N27" s="433"/>
      <c r="O27" s="433"/>
      <c r="P27" s="433"/>
    </row>
    <row r="28" spans="2:16" ht="15" customHeight="1" x14ac:dyDescent="0.2">
      <c r="B28" s="406" t="s">
        <v>171</v>
      </c>
      <c r="C28" s="406">
        <v>6</v>
      </c>
      <c r="D28" s="409"/>
      <c r="E28" s="407">
        <f>'Pricing'!F$56*MAX(0,MIN(12,'Pricing'!F$4-(C28-1)*12))</f>
      </c>
      <c r="F28" s="407"/>
      <c r="G28" s="408">
        <f>SUM(E$22:E28)</f>
      </c>
      <c r="I28" s="433"/>
      <c r="J28" s="433"/>
      <c r="K28" s="433"/>
      <c r="L28" s="433"/>
      <c r="M28" s="433"/>
      <c r="N28" s="433"/>
      <c r="O28" s="433"/>
      <c r="P28" s="433"/>
    </row>
    <row r="29" spans="2:16" ht="15" customHeight="1" x14ac:dyDescent="0.2">
      <c r="B29" s="406" t="s">
        <v>171</v>
      </c>
      <c r="C29" s="406">
        <v>7</v>
      </c>
      <c r="D29" s="409"/>
      <c r="E29" s="407">
        <f>'Pricing'!F$56*MAX(0,MIN(12,'Pricing'!F$4-(C29-1)*12))</f>
      </c>
      <c r="F29" s="407"/>
      <c r="G29" s="408">
        <f>SUM(E$22:E29)</f>
      </c>
      <c r="I29" s="433"/>
      <c r="J29" s="433"/>
      <c r="K29" s="433"/>
      <c r="L29" s="433"/>
      <c r="M29" s="433"/>
      <c r="N29" s="433"/>
      <c r="O29" s="433"/>
      <c r="P29" s="433"/>
    </row>
    <row r="30" spans="2:16" ht="15" customHeight="1" x14ac:dyDescent="0.2">
      <c r="B30" s="406" t="s">
        <v>171</v>
      </c>
      <c r="C30" s="406">
        <v>8</v>
      </c>
      <c r="D30" s="409"/>
      <c r="E30" s="407">
        <f>'Pricing'!F$56*MAX(0,MIN(12,'Pricing'!F$4-(C30-1)*12))</f>
      </c>
      <c r="F30" s="407"/>
      <c r="G30" s="408">
        <f>SUM(E$22:E30)</f>
      </c>
      <c r="I30" s="433"/>
      <c r="J30" s="433"/>
      <c r="K30" s="433"/>
      <c r="L30" s="433"/>
      <c r="M30" s="433"/>
      <c r="N30" s="433"/>
      <c r="O30" s="433"/>
      <c r="P30" s="433"/>
    </row>
    <row r="31" spans="2:16" ht="15" customHeight="1" x14ac:dyDescent="0.2">
      <c r="B31" s="406" t="s">
        <v>171</v>
      </c>
      <c r="C31" s="406">
        <v>9</v>
      </c>
      <c r="D31" s="409"/>
      <c r="E31" s="407">
        <f>'Pricing'!F$56*MAX(0,MIN(12,'Pricing'!F$4-(C31-1)*12))</f>
      </c>
      <c r="F31" s="407"/>
      <c r="G31" s="408">
        <f>SUM(E$22:E31)</f>
      </c>
      <c r="I31" s="433"/>
      <c r="J31" s="433"/>
      <c r="K31" s="433"/>
      <c r="L31" s="433"/>
      <c r="M31" s="433"/>
      <c r="N31" s="433"/>
      <c r="O31" s="433"/>
      <c r="P31" s="433"/>
    </row>
    <row r="32" spans="2:16" ht="15.75" customHeight="1" x14ac:dyDescent="0.2">
      <c r="B32" s="411" t="s">
        <v>171</v>
      </c>
      <c r="C32" s="411">
        <v>10</v>
      </c>
      <c r="D32" s="412"/>
      <c r="E32" s="413">
        <f>'Pricing'!F$56*MAX(0,MIN(12,'Pricing'!F$4-(C32-1)*12))</f>
      </c>
      <c r="F32" s="413"/>
      <c r="G32" s="408">
        <f>SUM(E$22:E32)</f>
      </c>
      <c r="I32" s="433"/>
      <c r="J32" s="433"/>
      <c r="K32" s="433"/>
      <c r="L32" s="433"/>
      <c r="M32" s="433"/>
      <c r="N32" s="433"/>
      <c r="O32" s="433"/>
      <c r="P32" s="433"/>
    </row>
    <row r="33" spans="2:16" ht="15" customHeight="1" x14ac:dyDescent="0.2">
      <c r="B33" s="414" t="s">
        <v>175</v>
      </c>
      <c r="C33" s="415"/>
      <c r="D33" s="416"/>
      <c r="E33" s="417">
        <f>SUM(E22:E32)</f>
      </c>
      <c r="F33" s="418"/>
      <c r="G33" s="419"/>
    </row>
    <row r="34" spans="2:16" ht="15" customHeight="1" x14ac:dyDescent="0.2">
      <c r="B34" s="32"/>
      <c r="C34" s="32"/>
      <c r="D34" s="15"/>
      <c r="E34" s="420"/>
      <c r="F34" s="420"/>
      <c r="G34" s="420"/>
    </row>
    <row r="35" spans="2:16" ht="15.75" customHeight="1" x14ac:dyDescent="0.2">
      <c r="C35" s="21"/>
      <c r="D35" s="146" t="s">
        <v>177</v>
      </c>
      <c r="E35" s="404"/>
      <c r="F35" s="404"/>
      <c r="G35" s="404"/>
    </row>
    <row r="36" spans="2:16" ht="15" customHeight="1" x14ac:dyDescent="0.2">
      <c r="B36" s="383" t="s">
        <v>20</v>
      </c>
      <c r="C36" s="383" t="s">
        <v>167</v>
      </c>
      <c r="D36" s="383" t="s">
        <v>168</v>
      </c>
      <c r="E36" s="383" t="s">
        <v>101</v>
      </c>
      <c r="F36" s="383"/>
      <c r="G36" s="383" t="s">
        <v>20</v>
      </c>
      <c r="I36" s="384" t="s">
        <v>98</v>
      </c>
      <c r="J36" s="385">
        <f>IFERROR(IRR(E37:E47),"n/m")</f>
      </c>
    </row>
    <row r="37" spans="2:16" ht="15" customHeight="1" x14ac:dyDescent="0.2">
      <c r="B37" s="389" t="s">
        <v>171</v>
      </c>
      <c r="C37" s="389">
        <v>0</v>
      </c>
      <c r="D37" s="390">
        <f>'Pricing'!G52-'Pricing'!G7-'Pricing'!G100</f>
      </c>
      <c r="E37" s="390">
        <f>-D37</f>
      </c>
      <c r="F37" s="390"/>
      <c r="G37" s="390">
        <f>E37/((1+$C$3)^C37)</f>
      </c>
      <c r="I37" s="384"/>
      <c r="J37" s="395"/>
    </row>
    <row r="38" spans="2:16" ht="15" customHeight="1" x14ac:dyDescent="0.2">
      <c r="B38" s="389" t="s">
        <v>171</v>
      </c>
      <c r="C38" s="389">
        <v>1</v>
      </c>
      <c r="D38" s="394"/>
      <c r="E38" s="390">
        <f>'Pricing'!G$56*MAX(0,MIN(12,'Pricing'!G$4-(C38-1)*12))</f>
      </c>
      <c r="F38" s="390"/>
      <c r="G38" s="390">
        <f>E38/((1+$C$3)^C38)</f>
      </c>
      <c r="K38" t="s">
        <v>174</v>
      </c>
    </row>
    <row r="39" spans="2:16" ht="15" customHeight="1" x14ac:dyDescent="0.2">
      <c r="B39" s="389" t="s">
        <v>171</v>
      </c>
      <c r="C39" s="389">
        <v>2</v>
      </c>
      <c r="D39" s="394"/>
      <c r="E39" s="390">
        <f>'Pricing'!G$56*MAX(0,MIN(12,'Pricing'!G$4-(C39-1)*12))</f>
      </c>
      <c r="F39" s="390"/>
      <c r="G39" s="390">
        <f>E39/((1+$C$3)^C39)</f>
      </c>
      <c r="I39" s="433" t="s">
        <v>20</v>
      </c>
      <c r="J39" s="433"/>
      <c r="K39" s="433"/>
      <c r="L39" s="433"/>
      <c r="M39" s="433"/>
      <c r="N39" s="433"/>
      <c r="O39" s="433"/>
      <c r="P39" s="433"/>
    </row>
    <row r="40" spans="2:16" ht="15" customHeight="1" x14ac:dyDescent="0.2">
      <c r="B40" s="389" t="s">
        <v>171</v>
      </c>
      <c r="C40" s="389">
        <v>3</v>
      </c>
      <c r="D40" s="394"/>
      <c r="E40" s="390">
        <f>'Pricing'!G$56*MAX(0,MIN(12,'Pricing'!G$4-(C40-1)*12))</f>
      </c>
      <c r="F40" s="390"/>
      <c r="G40" s="390">
        <f>E40/((1+$C$3)^C40)</f>
      </c>
      <c r="I40" s="433"/>
      <c r="J40" s="433"/>
      <c r="K40" s="433"/>
      <c r="L40" s="433"/>
      <c r="M40" s="433"/>
      <c r="N40" s="433"/>
      <c r="O40" s="433"/>
      <c r="P40" s="433"/>
    </row>
    <row r="41" spans="2:16" ht="15" customHeight="1" x14ac:dyDescent="0.2">
      <c r="B41" s="389" t="s">
        <v>171</v>
      </c>
      <c r="C41" s="389">
        <v>4</v>
      </c>
      <c r="D41" s="394"/>
      <c r="E41" s="390">
        <f>'Pricing'!G$56*MAX(0,MIN(12,'Pricing'!G$4-(C41-1)*12))</f>
      </c>
      <c r="F41" s="390"/>
      <c r="G41" s="390">
        <f>E41/((1+$C$3)^C41)</f>
      </c>
      <c r="I41" s="433"/>
      <c r="J41" s="433"/>
      <c r="K41" s="433"/>
      <c r="L41" s="433"/>
      <c r="M41" s="433"/>
      <c r="N41" s="433"/>
      <c r="O41" s="433"/>
      <c r="P41" s="433"/>
    </row>
    <row r="42" spans="2:16" ht="15" customHeight="1" x14ac:dyDescent="0.2">
      <c r="B42" s="389" t="s">
        <v>171</v>
      </c>
      <c r="C42" s="389">
        <v>5</v>
      </c>
      <c r="D42" s="394"/>
      <c r="E42" s="390">
        <f>'Pricing'!G$56*MAX(0,MIN(12,'Pricing'!G$4-(C42-1)*12))</f>
      </c>
      <c r="F42" s="390"/>
      <c r="G42" s="390">
        <f>E42/((1+$C$3)^C42)</f>
      </c>
      <c r="I42" s="433"/>
      <c r="J42" s="433"/>
      <c r="K42" s="433"/>
      <c r="L42" s="433"/>
      <c r="M42" s="433"/>
      <c r="N42" s="433"/>
      <c r="O42" s="433"/>
      <c r="P42" s="433"/>
    </row>
    <row r="43" spans="2:16" ht="15" customHeight="1" x14ac:dyDescent="0.2">
      <c r="B43" s="389" t="s">
        <v>171</v>
      </c>
      <c r="C43" s="389">
        <v>6</v>
      </c>
      <c r="D43" s="394"/>
      <c r="E43" s="390">
        <f>'Pricing'!G$56*MAX(0,MIN(12,'Pricing'!G$4-(C43-1)*12))</f>
      </c>
      <c r="F43" s="390"/>
      <c r="G43" s="390">
        <f>E43/((1+$C$3)^C43)</f>
      </c>
      <c r="I43" s="433"/>
      <c r="J43" s="433"/>
      <c r="K43" s="433"/>
      <c r="L43" s="433"/>
      <c r="M43" s="433"/>
      <c r="N43" s="433"/>
      <c r="O43" s="433"/>
      <c r="P43" s="433"/>
    </row>
    <row r="44" spans="2:16" ht="15" customHeight="1" x14ac:dyDescent="0.2">
      <c r="B44" s="389" t="s">
        <v>171</v>
      </c>
      <c r="C44" s="389">
        <v>7</v>
      </c>
      <c r="D44" s="394"/>
      <c r="E44" s="390">
        <f>'Pricing'!G$56*MAX(0,MIN(12,'Pricing'!G$4-(C44-1)*12))</f>
      </c>
      <c r="F44" s="390"/>
      <c r="G44" s="390">
        <f>E44/((1+$C$3)^C44)</f>
      </c>
      <c r="I44" s="433"/>
      <c r="J44" s="433"/>
      <c r="K44" s="433"/>
      <c r="L44" s="433"/>
      <c r="M44" s="433"/>
      <c r="N44" s="433"/>
      <c r="O44" s="433"/>
      <c r="P44" s="433"/>
    </row>
    <row r="45" spans="2:16" ht="15" customHeight="1" x14ac:dyDescent="0.2">
      <c r="B45" s="389" t="s">
        <v>171</v>
      </c>
      <c r="C45" s="389">
        <v>8</v>
      </c>
      <c r="D45" s="394"/>
      <c r="E45" s="390">
        <f>'Pricing'!G$56*MAX(0,MIN(12,'Pricing'!G$4-(C45-1)*12))</f>
      </c>
      <c r="F45" s="390"/>
      <c r="G45" s="390">
        <f>E45/((1+$C$3)^C45)</f>
      </c>
      <c r="I45" s="433"/>
      <c r="J45" s="433"/>
      <c r="K45" s="433"/>
      <c r="L45" s="433"/>
      <c r="M45" s="433"/>
      <c r="N45" s="433"/>
      <c r="O45" s="433"/>
      <c r="P45" s="433"/>
    </row>
    <row r="46" spans="2:16" ht="15" customHeight="1" x14ac:dyDescent="0.2">
      <c r="B46" s="389" t="s">
        <v>171</v>
      </c>
      <c r="C46" s="389">
        <v>9</v>
      </c>
      <c r="D46" s="394"/>
      <c r="E46" s="390">
        <f>'Pricing'!G$56*MAX(0,MIN(12,'Pricing'!G$4-(C46-1)*12))</f>
      </c>
      <c r="F46" s="390"/>
      <c r="G46" s="390">
        <f>E46/((1+$C$3)^C46)</f>
      </c>
      <c r="I46" s="433"/>
      <c r="J46" s="433"/>
      <c r="K46" s="433"/>
      <c r="L46" s="433"/>
      <c r="M46" s="433"/>
      <c r="N46" s="433"/>
      <c r="O46" s="433"/>
      <c r="P46" s="433"/>
    </row>
    <row r="47" spans="2:16" ht="15.75" customHeight="1" x14ac:dyDescent="0.2">
      <c r="B47" s="397" t="s">
        <v>171</v>
      </c>
      <c r="C47" s="397">
        <v>10</v>
      </c>
      <c r="D47" s="398"/>
      <c r="E47" s="399">
        <f>'Pricing'!G$56*MAX(0,MIN(12,'Pricing'!G$4-(C47-1)*12))</f>
      </c>
      <c r="F47" s="399"/>
      <c r="G47" s="399">
        <f>E47/((1+$C$3)^C47)</f>
      </c>
      <c r="I47" s="433"/>
      <c r="J47" s="433"/>
      <c r="K47" s="433"/>
      <c r="L47" s="433"/>
      <c r="M47" s="433"/>
      <c r="N47" s="433"/>
      <c r="O47" s="433"/>
      <c r="P47" s="433"/>
    </row>
    <row r="48" spans="2:16" ht="15" customHeight="1" x14ac:dyDescent="0.2">
      <c r="B48" s="400" t="s">
        <v>175</v>
      </c>
      <c r="C48" s="401"/>
      <c r="D48" s="402"/>
      <c r="E48" s="403">
        <f>SUM(E37:E47)</f>
      </c>
      <c r="F48" s="403"/>
      <c r="G48" s="403">
        <f>SUM(G37:G47)</f>
      </c>
    </row>
    <row r="49" spans="2:16" ht="15" customHeight="1" x14ac:dyDescent="0.2">
      <c r="C49" s="21"/>
      <c r="E49" s="404"/>
      <c r="F49" s="404"/>
      <c r="G49" s="404"/>
    </row>
    <row r="50" spans="2:16" ht="15.75" customHeight="1" x14ac:dyDescent="0.2">
      <c r="C50" s="21"/>
      <c r="D50" s="146" t="s">
        <v>178</v>
      </c>
      <c r="E50" s="404"/>
      <c r="F50" s="404"/>
      <c r="G50" s="404"/>
    </row>
    <row r="51" spans="2:16" ht="15" customHeight="1" x14ac:dyDescent="0.2">
      <c r="B51" s="383" t="s">
        <v>20</v>
      </c>
      <c r="C51" s="383" t="s">
        <v>167</v>
      </c>
      <c r="D51" s="383" t="s">
        <v>168</v>
      </c>
      <c r="E51" s="383" t="s">
        <v>101</v>
      </c>
      <c r="F51" s="383"/>
      <c r="G51" s="383" t="s">
        <v>20</v>
      </c>
      <c r="I51" s="384" t="s">
        <v>98</v>
      </c>
      <c r="J51" s="385">
        <f>IFERROR(IRR(E52:E62),"n/m")</f>
      </c>
    </row>
    <row r="52" spans="2:16" ht="15" customHeight="1" x14ac:dyDescent="0.2">
      <c r="B52" s="406" t="s">
        <v>171</v>
      </c>
      <c r="C52" s="406">
        <v>0</v>
      </c>
      <c r="D52" s="407">
        <f>'Pricing'!H52-'Pricing'!H7-'Pricing'!H100</f>
      </c>
      <c r="E52" s="407">
        <f>-D52</f>
      </c>
      <c r="F52" s="407"/>
      <c r="G52" s="407">
        <f>E52/((1+$C$3)^C52)</f>
      </c>
      <c r="I52" s="384"/>
      <c r="J52" s="395"/>
    </row>
    <row r="53" spans="2:16" ht="15" customHeight="1" x14ac:dyDescent="0.2">
      <c r="B53" s="406" t="s">
        <v>171</v>
      </c>
      <c r="C53" s="406">
        <v>1</v>
      </c>
      <c r="D53" s="409"/>
      <c r="E53" s="407">
        <f>'Pricing'!H$56*MAX(0,MIN(12,'Pricing'!H$4-(C53-1)*12))</f>
      </c>
      <c r="F53" s="407"/>
      <c r="G53" s="407">
        <f>E53/((1+$C$3)^C53)</f>
      </c>
      <c r="I53"/>
      <c r="K53" t="s">
        <v>174</v>
      </c>
    </row>
    <row r="54" spans="2:16" ht="15" customHeight="1" x14ac:dyDescent="0.2">
      <c r="B54" s="406" t="s">
        <v>171</v>
      </c>
      <c r="C54" s="406">
        <v>2</v>
      </c>
      <c r="D54" s="409"/>
      <c r="E54" s="407">
        <f>'Pricing'!H$56*MAX(0,MIN(12,'Pricing'!H$4-(C54-1)*12))</f>
      </c>
      <c r="F54" s="407"/>
      <c r="G54" s="407">
        <f>E54/((1+$C$3)^C54)</f>
      </c>
      <c r="I54" s="433" t="s">
        <v>20</v>
      </c>
      <c r="J54" s="433"/>
      <c r="K54" s="433"/>
      <c r="L54" s="433"/>
      <c r="M54" s="433"/>
      <c r="N54" s="433"/>
      <c r="O54" s="433"/>
      <c r="P54" s="433"/>
    </row>
    <row r="55" spans="2:16" ht="15" customHeight="1" x14ac:dyDescent="0.2">
      <c r="B55" s="406" t="s">
        <v>171</v>
      </c>
      <c r="C55" s="406">
        <v>3</v>
      </c>
      <c r="D55" s="409"/>
      <c r="E55" s="407">
        <f>'Pricing'!H$56*MAX(0,MIN(12,'Pricing'!H$4-(C55-1)*12))</f>
      </c>
      <c r="F55" s="407"/>
      <c r="G55" s="407">
        <f>E55/((1+$C$3)^C55)</f>
      </c>
      <c r="I55" s="433"/>
      <c r="J55" s="433"/>
      <c r="K55" s="433"/>
      <c r="L55" s="433"/>
      <c r="M55" s="433"/>
      <c r="N55" s="433"/>
      <c r="O55" s="433"/>
      <c r="P55" s="433"/>
    </row>
    <row r="56" spans="2:16" ht="15" customHeight="1" x14ac:dyDescent="0.2">
      <c r="B56" s="406" t="s">
        <v>171</v>
      </c>
      <c r="C56" s="406">
        <v>4</v>
      </c>
      <c r="D56" s="409"/>
      <c r="E56" s="407">
        <f>'Pricing'!H$56*MAX(0,MIN(12,'Pricing'!H$4-(C56-1)*12))</f>
      </c>
      <c r="F56" s="407"/>
      <c r="G56" s="407">
        <f>E56/((1+$C$3)^C56)</f>
      </c>
      <c r="I56" s="433"/>
      <c r="J56" s="433"/>
      <c r="K56" s="433"/>
      <c r="L56" s="433"/>
      <c r="M56" s="433"/>
      <c r="N56" s="433"/>
      <c r="O56" s="433"/>
      <c r="P56" s="433"/>
    </row>
    <row r="57" spans="2:16" ht="15" customHeight="1" x14ac:dyDescent="0.2">
      <c r="B57" s="406" t="s">
        <v>171</v>
      </c>
      <c r="C57" s="406">
        <v>5</v>
      </c>
      <c r="D57" s="409"/>
      <c r="E57" s="407">
        <f>'Pricing'!H$56*MAX(0,MIN(12,'Pricing'!H$4-(C57-1)*12))</f>
      </c>
      <c r="F57" s="407"/>
      <c r="G57" s="407">
        <f>E57/((1+$C$3)^C57)</f>
      </c>
      <c r="I57" s="433"/>
      <c r="J57" s="433"/>
      <c r="K57" s="433"/>
      <c r="L57" s="433"/>
      <c r="M57" s="433"/>
      <c r="N57" s="433"/>
      <c r="O57" s="433"/>
      <c r="P57" s="433"/>
    </row>
    <row r="58" spans="2:16" ht="15" customHeight="1" x14ac:dyDescent="0.2">
      <c r="B58" s="406" t="s">
        <v>171</v>
      </c>
      <c r="C58" s="406">
        <v>6</v>
      </c>
      <c r="D58" s="409"/>
      <c r="E58" s="407">
        <f>'Pricing'!H$56*MAX(0,MIN(12,'Pricing'!H$4-(C58-1)*12))</f>
      </c>
      <c r="F58" s="407"/>
      <c r="G58" s="407">
        <f>E58/((1+$C$3)^C58)</f>
      </c>
      <c r="I58" s="433"/>
      <c r="J58" s="433"/>
      <c r="K58" s="433"/>
      <c r="L58" s="433"/>
      <c r="M58" s="433"/>
      <c r="N58" s="433"/>
      <c r="O58" s="433"/>
      <c r="P58" s="433"/>
    </row>
    <row r="59" spans="2:16" ht="15" customHeight="1" x14ac:dyDescent="0.2">
      <c r="B59" s="406" t="s">
        <v>171</v>
      </c>
      <c r="C59" s="406">
        <v>7</v>
      </c>
      <c r="D59" s="409"/>
      <c r="E59" s="407">
        <f>'Pricing'!H$56*MAX(0,MIN(12,'Pricing'!H$4-(C59-1)*12))</f>
      </c>
      <c r="F59" s="407"/>
      <c r="G59" s="407">
        <f>E59/((1+$C$3)^C59)</f>
      </c>
      <c r="I59" s="433"/>
      <c r="J59" s="433"/>
      <c r="K59" s="433"/>
      <c r="L59" s="433"/>
      <c r="M59" s="433"/>
      <c r="N59" s="433"/>
      <c r="O59" s="433"/>
      <c r="P59" s="433"/>
    </row>
    <row r="60" spans="2:16" ht="15" customHeight="1" x14ac:dyDescent="0.2">
      <c r="B60" s="406" t="s">
        <v>171</v>
      </c>
      <c r="C60" s="406">
        <v>8</v>
      </c>
      <c r="D60" s="409"/>
      <c r="E60" s="407">
        <f>'Pricing'!H$56*MAX(0,MIN(12,'Pricing'!H$4-(C60-1)*12))</f>
      </c>
      <c r="F60" s="407"/>
      <c r="G60" s="407">
        <f>E60/((1+$C$3)^C60)</f>
      </c>
      <c r="I60" s="433"/>
      <c r="J60" s="433"/>
      <c r="K60" s="433"/>
      <c r="L60" s="433"/>
      <c r="M60" s="433"/>
      <c r="N60" s="433"/>
      <c r="O60" s="433"/>
      <c r="P60" s="433"/>
    </row>
    <row r="61" spans="2:16" ht="15" customHeight="1" x14ac:dyDescent="0.2">
      <c r="B61" s="406" t="s">
        <v>171</v>
      </c>
      <c r="C61" s="406">
        <v>9</v>
      </c>
      <c r="D61" s="409"/>
      <c r="E61" s="407">
        <f>'Pricing'!H$56*MAX(0,MIN(12,'Pricing'!H$4-(C61-1)*12))</f>
      </c>
      <c r="F61" s="407"/>
      <c r="G61" s="407">
        <f>E61/((1+$C$3)^C61)</f>
      </c>
      <c r="I61" s="433"/>
      <c r="J61" s="433"/>
      <c r="K61" s="433"/>
      <c r="L61" s="433"/>
      <c r="M61" s="433"/>
      <c r="N61" s="433"/>
      <c r="O61" s="433"/>
      <c r="P61" s="433"/>
    </row>
    <row r="62" spans="2:16" ht="15.75" customHeight="1" x14ac:dyDescent="0.2">
      <c r="B62" s="411" t="s">
        <v>171</v>
      </c>
      <c r="C62" s="411">
        <v>10</v>
      </c>
      <c r="D62" s="412"/>
      <c r="E62" s="413">
        <f>'Pricing'!H$56*MAX(0,MIN(12,'Pricing'!H$4-(C62-1)*12))</f>
      </c>
      <c r="F62" s="413"/>
      <c r="G62" s="413">
        <f>E62/((1+$C$3)^C62)</f>
      </c>
      <c r="I62" s="433"/>
      <c r="J62" s="433"/>
      <c r="K62" s="433"/>
      <c r="L62" s="433"/>
      <c r="M62" s="433"/>
      <c r="N62" s="433"/>
      <c r="O62" s="433"/>
      <c r="P62" s="433"/>
    </row>
    <row r="63" spans="2:16" ht="15" customHeight="1" x14ac:dyDescent="0.2">
      <c r="B63" s="414" t="s">
        <v>175</v>
      </c>
      <c r="C63" s="415"/>
      <c r="D63" s="416"/>
      <c r="E63" s="417">
        <f>SUM(E52:E62)</f>
      </c>
      <c r="F63" s="417"/>
      <c r="G63" s="417">
        <f>SUM(G52:G62)</f>
      </c>
    </row>
    <row r="64" spans="2:16" ht="15" customHeight="1" x14ac:dyDescent="0.2"/>
    <row r="65" spans="2:16" ht="15.75" customHeight="1" x14ac:dyDescent="0.2">
      <c r="C65" s="21"/>
      <c r="D65" s="146" t="s">
        <v>179</v>
      </c>
      <c r="E65" s="404"/>
      <c r="F65" s="404"/>
      <c r="G65" s="404"/>
    </row>
    <row r="66" spans="2:16" ht="15" customHeight="1" x14ac:dyDescent="0.2">
      <c r="B66" s="383" t="s">
        <v>20</v>
      </c>
      <c r="C66" s="383" t="s">
        <v>167</v>
      </c>
      <c r="D66" s="383" t="s">
        <v>168</v>
      </c>
      <c r="E66" s="383" t="s">
        <v>101</v>
      </c>
      <c r="F66" s="383"/>
      <c r="G66" s="383" t="s">
        <v>20</v>
      </c>
      <c r="I66" s="384" t="s">
        <v>98</v>
      </c>
      <c r="J66" s="385">
        <f>IFERROR(IRR(E67:E77),"n/m")</f>
      </c>
    </row>
    <row r="67" spans="2:16" ht="15" customHeight="1" x14ac:dyDescent="0.2">
      <c r="B67" s="389" t="s">
        <v>171</v>
      </c>
      <c r="C67" s="389">
        <v>0</v>
      </c>
      <c r="D67" s="390">
        <f>'Pricing'!I52-'Pricing'!I7-'Pricing'!I100</f>
      </c>
      <c r="E67" s="390">
        <f>-D67</f>
      </c>
      <c r="F67" s="390"/>
      <c r="G67" s="390">
        <f>E67/((1+$C$3)^C67)</f>
      </c>
      <c r="I67" s="384"/>
      <c r="J67" s="421"/>
    </row>
    <row r="68" spans="2:16" ht="15" customHeight="1" x14ac:dyDescent="0.2">
      <c r="B68" s="389" t="s">
        <v>171</v>
      </c>
      <c r="C68" s="389">
        <v>1</v>
      </c>
      <c r="D68" s="394"/>
      <c r="E68" s="390">
        <f>'Pricing'!I$56*MAX(0,MIN(12,'Pricing'!I$4-(C68-1)*12))</f>
      </c>
      <c r="F68" s="390"/>
      <c r="G68" s="390">
        <f>E68/((1+$C$3)^C68)</f>
      </c>
      <c r="K68" t="s">
        <v>174</v>
      </c>
      <c r="L68" s="422"/>
      <c r="M68" s="422"/>
      <c r="N68" s="422"/>
    </row>
    <row r="69" spans="2:16" ht="15" customHeight="1" x14ac:dyDescent="0.2">
      <c r="B69" s="389" t="s">
        <v>171</v>
      </c>
      <c r="C69" s="389">
        <v>2</v>
      </c>
      <c r="D69" s="394"/>
      <c r="E69" s="390">
        <f>'Pricing'!I$56*MAX(0,MIN(12,'Pricing'!I$4-(C69-1)*12))</f>
      </c>
      <c r="F69" s="390"/>
      <c r="G69" s="390">
        <f>E69/((1+$C$3)^C69)</f>
      </c>
      <c r="I69" s="433" t="s">
        <v>20</v>
      </c>
      <c r="J69" s="433"/>
      <c r="K69" s="433"/>
      <c r="L69" s="433"/>
      <c r="M69" s="433"/>
      <c r="N69" s="433"/>
      <c r="O69" s="433"/>
      <c r="P69" s="433"/>
    </row>
    <row r="70" spans="2:16" ht="15" customHeight="1" x14ac:dyDescent="0.2">
      <c r="B70" s="389" t="s">
        <v>171</v>
      </c>
      <c r="C70" s="389">
        <v>3</v>
      </c>
      <c r="D70" s="394"/>
      <c r="E70" s="390">
        <f>'Pricing'!I$56*MAX(0,MIN(12,'Pricing'!I$4-(C70-1)*12))</f>
      </c>
      <c r="F70" s="390"/>
      <c r="G70" s="390">
        <f>E70/((1+$C$3)^C70)</f>
      </c>
      <c r="I70" s="433"/>
      <c r="J70" s="433"/>
      <c r="K70" s="433"/>
      <c r="L70" s="433"/>
      <c r="M70" s="433"/>
      <c r="N70" s="433"/>
      <c r="O70" s="433"/>
      <c r="P70" s="433"/>
    </row>
    <row r="71" spans="2:16" ht="15" customHeight="1" x14ac:dyDescent="0.2">
      <c r="B71" s="389" t="s">
        <v>171</v>
      </c>
      <c r="C71" s="389">
        <v>4</v>
      </c>
      <c r="D71" s="394"/>
      <c r="E71" s="390">
        <f>'Pricing'!I$56*MAX(0,MIN(12,'Pricing'!I$4-(C71-1)*12))</f>
      </c>
      <c r="F71" s="390"/>
      <c r="G71" s="390">
        <f>E71/((1+$C$3)^C71)</f>
      </c>
      <c r="I71" s="433"/>
      <c r="J71" s="433"/>
      <c r="K71" s="433"/>
      <c r="L71" s="433"/>
      <c r="M71" s="433"/>
      <c r="N71" s="433"/>
      <c r="O71" s="433"/>
      <c r="P71" s="433"/>
    </row>
    <row r="72" spans="2:16" ht="15" customHeight="1" x14ac:dyDescent="0.2">
      <c r="B72" s="389" t="s">
        <v>171</v>
      </c>
      <c r="C72" s="389">
        <v>5</v>
      </c>
      <c r="D72" s="394"/>
      <c r="E72" s="390">
        <f>'Pricing'!I$56*MAX(0,MIN(12,'Pricing'!I$4-(C72-1)*12))</f>
      </c>
      <c r="F72" s="390"/>
      <c r="G72" s="390">
        <f>E72/((1+$C$3)^C72)</f>
      </c>
      <c r="I72" s="433"/>
      <c r="J72" s="433"/>
      <c r="K72" s="433"/>
      <c r="L72" s="433"/>
      <c r="M72" s="433"/>
      <c r="N72" s="433"/>
      <c r="O72" s="433"/>
      <c r="P72" s="433"/>
    </row>
    <row r="73" spans="2:16" ht="15" customHeight="1" x14ac:dyDescent="0.2">
      <c r="B73" s="389" t="s">
        <v>171</v>
      </c>
      <c r="C73" s="389">
        <v>6</v>
      </c>
      <c r="D73" s="394"/>
      <c r="E73" s="390">
        <f>'Pricing'!I$56*MAX(0,MIN(12,'Pricing'!I$4-(C73-1)*12))</f>
      </c>
      <c r="F73" s="390"/>
      <c r="G73" s="390">
        <f>E73/((1+$C$3)^C73)</f>
      </c>
      <c r="I73" s="433"/>
      <c r="J73" s="433"/>
      <c r="K73" s="433"/>
      <c r="L73" s="433"/>
      <c r="M73" s="433"/>
      <c r="N73" s="433"/>
      <c r="O73" s="433"/>
      <c r="P73" s="433"/>
    </row>
    <row r="74" spans="2:16" ht="15" customHeight="1" x14ac:dyDescent="0.2">
      <c r="B74" s="389" t="s">
        <v>171</v>
      </c>
      <c r="C74" s="389">
        <v>7</v>
      </c>
      <c r="D74" s="394"/>
      <c r="E74" s="390">
        <f>'Pricing'!I$56*MAX(0,MIN(12,'Pricing'!I$4-(C74-1)*12))</f>
      </c>
      <c r="F74" s="390"/>
      <c r="G74" s="390">
        <f>E74/((1+$C$3)^C74)</f>
      </c>
      <c r="I74" s="433"/>
      <c r="J74" s="433"/>
      <c r="K74" s="433"/>
      <c r="L74" s="433"/>
      <c r="M74" s="433"/>
      <c r="N74" s="433"/>
      <c r="O74" s="433"/>
      <c r="P74" s="433"/>
    </row>
    <row r="75" spans="2:16" ht="15" customHeight="1" x14ac:dyDescent="0.2">
      <c r="B75" s="389" t="s">
        <v>171</v>
      </c>
      <c r="C75" s="389">
        <v>8</v>
      </c>
      <c r="D75" s="394"/>
      <c r="E75" s="390">
        <f>'Pricing'!I$56*MAX(0,MIN(12,'Pricing'!I$4-(C75-1)*12))</f>
      </c>
      <c r="F75" s="390"/>
      <c r="G75" s="390">
        <f>E75/((1+$C$3)^C75)</f>
      </c>
      <c r="I75" s="433"/>
      <c r="J75" s="433"/>
      <c r="K75" s="433"/>
      <c r="L75" s="433"/>
      <c r="M75" s="433"/>
      <c r="N75" s="433"/>
      <c r="O75" s="433"/>
      <c r="P75" s="433"/>
    </row>
    <row r="76" spans="2:16" ht="15" customHeight="1" x14ac:dyDescent="0.2">
      <c r="B76" s="389" t="s">
        <v>171</v>
      </c>
      <c r="C76" s="389">
        <v>9</v>
      </c>
      <c r="D76" s="394"/>
      <c r="E76" s="390">
        <f>'Pricing'!I$56*MAX(0,MIN(12,'Pricing'!I$4-(C76-1)*12))</f>
      </c>
      <c r="F76" s="390"/>
      <c r="G76" s="390">
        <f>E76/((1+$C$3)^C76)</f>
      </c>
      <c r="I76" s="433"/>
      <c r="J76" s="433"/>
      <c r="K76" s="433"/>
      <c r="L76" s="433"/>
      <c r="M76" s="433"/>
      <c r="N76" s="433"/>
      <c r="O76" s="433"/>
      <c r="P76" s="433"/>
    </row>
    <row r="77" spans="2:16" ht="15.75" customHeight="1" x14ac:dyDescent="0.2">
      <c r="B77" s="397" t="s">
        <v>171</v>
      </c>
      <c r="C77" s="397">
        <v>10</v>
      </c>
      <c r="D77" s="398"/>
      <c r="E77" s="399">
        <f>'Pricing'!I$56*MAX(0,MIN(12,'Pricing'!I$4-(C77-1)*12))</f>
      </c>
      <c r="F77" s="399"/>
      <c r="G77" s="399">
        <f>E77/((1+$C$3)^C77)</f>
      </c>
      <c r="I77" s="433"/>
      <c r="J77" s="433"/>
      <c r="K77" s="433"/>
      <c r="L77" s="433"/>
      <c r="M77" s="433"/>
      <c r="N77" s="433"/>
      <c r="O77" s="433"/>
      <c r="P77" s="433"/>
    </row>
    <row r="78" spans="2:16" ht="15" customHeight="1" x14ac:dyDescent="0.2">
      <c r="B78" s="400" t="s">
        <v>175</v>
      </c>
      <c r="C78" s="401"/>
      <c r="D78" s="402"/>
      <c r="E78" s="403">
        <f>SUM(E67:E77)</f>
      </c>
      <c r="F78" s="403"/>
      <c r="G78" s="403">
        <f>SUM(G67:G77)</f>
      </c>
    </row>
  </sheetData>
  <mergeCells count="6">
    <mergeCell ref="I69:P77"/>
    <mergeCell ref="A1:K1"/>
    <mergeCell ref="I10:P18"/>
    <mergeCell ref="I24:P32"/>
    <mergeCell ref="I39:P47"/>
    <mergeCell ref="I54:P62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Instructions, Assumptions</vt:lpstr>
      <vt:lpstr>Rental (BOM)</vt:lpstr>
      <vt:lpstr>Sale (BOM)</vt:lpstr>
      <vt:lpstr>Pricing</vt:lpstr>
      <vt:lpstr>Cashflow &amp; Payback</vt:lpstr>
      <vt:lpstr>Exec Summary</vt:lpstr>
      <vt:lpstr>NPV - IRR</vt:lpstr>
      <vt:lpstr>'Exec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Talbot</dc:creator>
  <dc:description/>
  <cp:lastModifiedBy>Hector Maytorena</cp:lastModifiedBy>
  <cp:revision>0</cp:revision>
  <dcterms:created xsi:type="dcterms:W3CDTF">2019-08-27T19:09:10Z</dcterms:created>
  <dcterms:modified xsi:type="dcterms:W3CDTF">2026-08-28T19:25:49Z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0x010100C28D6AC49FB8354994CD8E71A038A234</vt:lpwstr>
  </property>
</Properties>
</file>